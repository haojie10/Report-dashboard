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数据源" sheetId="1" r:id="rId1"/>
    <sheet name="动态看板" sheetId="2" r:id="rId2"/>
  </sheets>
  <calcPr calcId="124519" fullCalcOnLoad="1"/>
</workbook>
</file>

<file path=xl/sharedStrings.xml><?xml version="1.0" encoding="utf-8"?>
<sst xmlns="http://schemas.openxmlformats.org/spreadsheetml/2006/main" count="920" uniqueCount="26">
  <si>
    <t>月份</t>
  </si>
  <si>
    <t>分公司</t>
  </si>
  <si>
    <t>销售额_USD</t>
  </si>
  <si>
    <t>实际毛利_RMB</t>
  </si>
  <si>
    <t>毛利汇算销售额_RMB</t>
  </si>
  <si>
    <t>2026-01</t>
  </si>
  <si>
    <t>市场七一司</t>
  </si>
  <si>
    <t>市场七三司</t>
  </si>
  <si>
    <t>市场七二司</t>
  </si>
  <si>
    <t>市场八十司</t>
  </si>
  <si>
    <t>2026-02</t>
  </si>
  <si>
    <t>市场七九司</t>
  </si>
  <si>
    <t>市场七八司</t>
  </si>
  <si>
    <t>市场七六司</t>
  </si>
  <si>
    <t>2026-03</t>
  </si>
  <si>
    <t>2026-04</t>
  </si>
  <si>
    <t>2026-05</t>
  </si>
  <si>
    <t>2026-06</t>
  </si>
  <si>
    <t>月度销售额及毛利率趋势对比</t>
  </si>
  <si>
    <t>月度新接订单规模 (USD) 与实际出运毛利率 (%) 趋势关系图</t>
  </si>
  <si>
    <t>请选择分公司:</t>
  </si>
  <si>
    <t>所有分公司</t>
  </si>
  <si>
    <t>销售额 (USD)</t>
  </si>
  <si>
    <t>实际毛利额 (RMB)</t>
  </si>
  <si>
    <t>毛利汇算销售额 (RMB)</t>
  </si>
  <si>
    <t>已出运毛利率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</si>
</sst>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¥#,##0.00"/>
    <numFmt numFmtId="166" formatCode="0.00%"/>
  </numFmts>
  <fonts count="9">
    <font>
      <sz val="11"/>
      <color theme="1"/>
      <name val="Calibri"/>
      <family val="2"/>
      <scheme val="minor"/>
    </font>
    <font>
      <b/>
      <sz val="10"/>
      <color rgb="FFFFFFFF"/>
      <name val="微软雅黑"/>
      <family val="2"/>
    </font>
    <font>
      <sz val="10"/>
      <color rgb="FF333333"/>
      <name val="微软雅黑"/>
      <family val="2"/>
    </font>
    <font>
      <b/>
      <sz val="14"/>
      <color rgb="FFF97316"/>
      <name val="Segoe UI"/>
      <family val="2"/>
    </font>
    <font>
      <sz val="9"/>
      <color rgb="FF94A3B8"/>
      <name val="Segoe UI"/>
      <family val="2"/>
    </font>
    <font>
      <b/>
      <sz val="10"/>
      <color rgb="FFF8FAFC"/>
      <name val="微软雅黑"/>
      <family val="2"/>
    </font>
    <font>
      <b/>
      <sz val="10"/>
      <color rgb="FFF97316"/>
      <name val="微软雅黑"/>
      <family val="2"/>
    </font>
    <font>
      <sz val="10"/>
      <color rgb="FFE2E8F0"/>
      <name val="Segoe UI"/>
      <family val="2"/>
    </font>
    <font>
      <b/>
      <sz val="10"/>
      <color rgb="FF22D3EE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0B0F19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111827"/>
        <bgColor indexed="64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1E293B"/>
      </left>
      <right style="thin">
        <color rgb="FF1E293B"/>
      </right>
      <top style="thin">
        <color rgb="FF1E293B"/>
      </top>
      <bottom style="thin">
        <color rgb="FF1E293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0" fontId="0" fillId="3" borderId="0" xfId="0" applyFill="1"/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right" vertical="center"/>
    </xf>
    <xf numFmtId="0" fontId="6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64" fontId="7" fillId="5" borderId="4" xfId="0" applyNumberFormat="1" applyFont="1" applyFill="1" applyBorder="1" applyAlignment="1">
      <alignment horizontal="right" vertical="center"/>
    </xf>
    <xf numFmtId="165" fontId="7" fillId="5" borderId="4" xfId="0" applyNumberFormat="1" applyFont="1" applyFill="1" applyBorder="1" applyAlignment="1">
      <alignment horizontal="right" vertical="center"/>
    </xf>
    <xf numFmtId="166" fontId="8" fillId="5" borderId="4" xfId="0" applyNumberFormat="1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164" fontId="7" fillId="6" borderId="4" xfId="0" applyNumberFormat="1" applyFont="1" applyFill="1" applyBorder="1" applyAlignment="1">
      <alignment horizontal="right" vertical="center"/>
    </xf>
    <xf numFmtId="165" fontId="7" fillId="6" borderId="4" xfId="0" applyNumberFormat="1" applyFont="1" applyFill="1" applyBorder="1" applyAlignment="1">
      <alignment horizontal="right" vertical="center"/>
    </xf>
    <xf numFmtId="166" fontId="8" fillId="6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F8FAFC"/>
                </a:solidFill>
                <a:latin typeface="微软雅黑"/>
              </a:defRPr>
            </a:pPr>
            <a:r>
              <a:rPr lang="en-US" sz="1200" b="1" baseline="0">
                <a:solidFill>
                  <a:srgbClr val="F8FAFC"/>
                </a:solidFill>
                <a:latin typeface="微软雅黑"/>
              </a:rPr>
              <a:t>月度销售额与出运毛利率趋势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销售额</c:v>
          </c:tx>
          <c:spPr>
            <a:solidFill>
              <a:srgbClr val="F97316"/>
            </a:solidFill>
            <a:ln>
              <a:noFill/>
            </a:ln>
          </c:spPr>
          <c:cat>
            <c:strRef>
              <c:f>动态看板!$A$6:$A$11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动态看板!$B$6:$B$11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毛利率</c:v>
          </c:tx>
          <c:spPr>
            <a:ln w="38100">
              <a:solidFill>
                <a:srgbClr val="22D3EE"/>
              </a:solidFill>
            </a:ln>
          </c:spPr>
          <c:marker>
            <c:symbol val="circle"/>
            <c:size val="7"/>
            <c:spPr>
              <a:solidFill>
                <a:srgbClr val="22D3EE"/>
              </a:solidFill>
              <a:ln>
                <a:solidFill>
                  <a:srgbClr val="22D3EE"/>
                </a:solidFill>
              </a:ln>
            </c:spPr>
          </c:marker>
          <c:cat>
            <c:strRef>
              <c:f>动态看板!$A$6:$A$11</c:f>
              <c:strCache>
                <c:ptCount val="6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</c:strCache>
            </c:strRef>
          </c:cat>
          <c:val>
            <c:numRef>
              <c:f>动态看板!$E$6:$E$11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spPr>
          <a:ln>
            <a:solidFill>
              <a:srgbClr val="1E293B"/>
            </a:solidFill>
          </a:ln>
        </c:spPr>
        <c:txPr>
          <a:bodyPr/>
          <a:lstStyle/>
          <a:p>
            <a:pPr>
              <a:defRPr sz="900" baseline="0">
                <a:solidFill>
                  <a:srgbClr val="94A3B8"/>
                </a:solidFill>
                <a:latin typeface="Segoe U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1E293B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900" baseline="0">
                    <a:solidFill>
                      <a:srgbClr val="94A3B8"/>
                    </a:solidFill>
                    <a:latin typeface="微软雅黑"/>
                  </a:defRPr>
                </a:pPr>
                <a:r>
                  <a:rPr lang="en-US" sz="900" baseline="0">
                    <a:solidFill>
                      <a:srgbClr val="94A3B8"/>
                    </a:solidFill>
                    <a:latin typeface="微软雅黑"/>
                  </a:rPr>
                  <a:t>销售额 (USD)</a:t>
                </a:r>
              </a:p>
            </c:rich>
          </c:tx>
          <c:layout/>
        </c:title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94A3B8"/>
                </a:solidFill>
                <a:latin typeface="Segoe UI"/>
              </a:defRPr>
            </a:pPr>
            <a:endParaRPr lang="en-US"/>
          </a:p>
        </c:txPr>
        <c:crossAx val="50010001"/>
        <c:crosses val="autoZero"/>
        <c:crossBetween val="between"/>
      </c:valAx>
      <c:valAx>
        <c:axId val="60010002"/>
        <c:scaling>
          <c:orientation val="minMax"/>
        </c:scaling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  <c:spPr>
        <a:solidFill>
          <a:srgbClr val="0F172A"/>
        </a:solidFill>
        <a:ln w="12700">
          <a:solidFill>
            <a:srgbClr val="1E293B"/>
          </a:solidFill>
        </a:ln>
      </c:spPr>
    </c:plotArea>
    <c:legend>
      <c:legendPos val="t"/>
      <c:layout/>
      <c:txPr>
        <a:bodyPr/>
        <a:lstStyle/>
        <a:p>
          <a:pPr>
            <a:defRPr sz="1000" baseline="0">
              <a:solidFill>
                <a:srgbClr val="94A3B8"/>
              </a:solidFill>
              <a:latin typeface="微软雅黑"/>
            </a:defRPr>
          </a:pPr>
          <a:endParaRPr lang="en-US"/>
        </a:p>
      </c:txPr>
      <c:spPr>
        <a:noFill/>
        <a:ln>
          <a:noFill/>
        </a:ln>
      </c:spPr>
    </c:legend>
    <c:plotVisOnly val="1"/>
  </c:chart>
  <c:spPr>
    <a:solidFill>
      <a:srgbClr val="0B0F19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12</xdr:row>
      <xdr:rowOff>47625</xdr:rowOff>
    </xdr:from>
    <xdr:to>
      <xdr:col>6</xdr:col>
      <xdr:colOff>114300</xdr:colOff>
      <xdr:row>29</xdr:row>
      <xdr:rowOff>228600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51"/>
  <sheetViews>
    <sheetView showGridLines="0" tabSelected="1" workbookViewId="0"/>
  </sheetViews>
  <sheetFormatPr defaultRowHeight="15"/>
  <cols>
    <col min="1" max="1" width="12.7109375" customWidth="1"/>
    <col min="2" max="2" width="22.7109375" customWidth="1"/>
    <col min="3" max="4" width="18.7109375" customWidth="1"/>
    <col min="5" max="5" width="22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3">
        <v>5140.8</v>
      </c>
      <c r="D2" s="4">
        <v>1942.62760000001</v>
      </c>
      <c r="E2" s="4">
        <v>35779.968</v>
      </c>
    </row>
    <row r="3" spans="1:5">
      <c r="A3" s="2" t="s">
        <v>5</v>
      </c>
      <c r="B3" s="2" t="s">
        <v>6</v>
      </c>
      <c r="C3" s="3">
        <v>0</v>
      </c>
      <c r="D3" s="4">
        <v>-3616.69</v>
      </c>
      <c r="E3" s="4">
        <v>0</v>
      </c>
    </row>
    <row r="4" spans="1:5">
      <c r="A4" s="2" t="s">
        <v>5</v>
      </c>
      <c r="B4" s="2" t="s">
        <v>6</v>
      </c>
      <c r="C4" s="3">
        <v>1216</v>
      </c>
      <c r="D4" s="4">
        <v>3167.2504</v>
      </c>
      <c r="E4" s="4">
        <v>8463.360000000001</v>
      </c>
    </row>
    <row r="5" spans="1:5">
      <c r="A5" s="2" t="s">
        <v>5</v>
      </c>
      <c r="B5" s="2" t="s">
        <v>6</v>
      </c>
      <c r="C5" s="3">
        <v>1108.8</v>
      </c>
      <c r="D5" s="4">
        <v>-1004.8608</v>
      </c>
      <c r="E5" s="4">
        <v>7739.424</v>
      </c>
    </row>
    <row r="6" spans="1:5">
      <c r="A6" s="2" t="s">
        <v>5</v>
      </c>
      <c r="B6" s="2" t="s">
        <v>6</v>
      </c>
      <c r="C6" s="3">
        <v>1900.8</v>
      </c>
      <c r="D6" s="4">
        <v>-221.686600000001</v>
      </c>
      <c r="E6" s="4">
        <v>13248.576</v>
      </c>
    </row>
    <row r="7" spans="1:5">
      <c r="A7" s="2" t="s">
        <v>5</v>
      </c>
      <c r="B7" s="2" t="s">
        <v>6</v>
      </c>
      <c r="C7" s="3">
        <v>402</v>
      </c>
      <c r="D7" s="4">
        <v>-205.3838</v>
      </c>
      <c r="E7" s="4">
        <v>2801.94</v>
      </c>
    </row>
    <row r="8" spans="1:5">
      <c r="A8" s="2" t="s">
        <v>5</v>
      </c>
      <c r="B8" s="2" t="s">
        <v>6</v>
      </c>
      <c r="C8" s="3">
        <v>485</v>
      </c>
      <c r="D8" s="4">
        <v>476.5586</v>
      </c>
      <c r="E8" s="4">
        <v>3385.3</v>
      </c>
    </row>
    <row r="9" spans="1:5">
      <c r="A9" s="2" t="s">
        <v>5</v>
      </c>
      <c r="B9" s="2" t="s">
        <v>6</v>
      </c>
      <c r="C9" s="3">
        <v>523.8</v>
      </c>
      <c r="D9" s="4">
        <v>454.0666</v>
      </c>
      <c r="E9" s="4">
        <v>3656.124</v>
      </c>
    </row>
    <row r="10" spans="1:5">
      <c r="A10" s="2" t="s">
        <v>5</v>
      </c>
      <c r="B10" s="2" t="s">
        <v>6</v>
      </c>
      <c r="C10" s="3">
        <v>1229.76</v>
      </c>
      <c r="D10" s="4">
        <v>341.944000000001</v>
      </c>
      <c r="E10" s="4">
        <v>8559.1296</v>
      </c>
    </row>
    <row r="11" spans="1:5">
      <c r="A11" s="2" t="s">
        <v>5</v>
      </c>
      <c r="B11" s="2" t="s">
        <v>7</v>
      </c>
      <c r="C11" s="3">
        <v>1434</v>
      </c>
      <c r="D11" s="4">
        <v>2144.499</v>
      </c>
      <c r="E11" s="4">
        <v>9966.300000000001</v>
      </c>
    </row>
    <row r="12" spans="1:5">
      <c r="A12" s="2" t="s">
        <v>5</v>
      </c>
      <c r="B12" s="2" t="s">
        <v>7</v>
      </c>
      <c r="C12" s="3">
        <v>1434</v>
      </c>
      <c r="D12" s="4">
        <v>1879.009</v>
      </c>
      <c r="E12" s="4">
        <v>9966.300000000001</v>
      </c>
    </row>
    <row r="13" spans="1:5">
      <c r="A13" s="2" t="s">
        <v>5</v>
      </c>
      <c r="B13" s="2" t="s">
        <v>7</v>
      </c>
      <c r="C13" s="3">
        <v>4230</v>
      </c>
      <c r="D13" s="4">
        <v>1341.7584</v>
      </c>
      <c r="E13" s="4">
        <v>29440.8</v>
      </c>
    </row>
    <row r="14" spans="1:5">
      <c r="A14" s="2" t="s">
        <v>5</v>
      </c>
      <c r="B14" s="2" t="s">
        <v>7</v>
      </c>
      <c r="C14" s="3">
        <v>1995</v>
      </c>
      <c r="D14" s="4">
        <v>2590.7245</v>
      </c>
      <c r="E14" s="4">
        <v>13865.25</v>
      </c>
    </row>
    <row r="15" spans="1:5">
      <c r="A15" s="2" t="s">
        <v>5</v>
      </c>
      <c r="B15" s="2" t="s">
        <v>7</v>
      </c>
      <c r="C15" s="3">
        <v>5940</v>
      </c>
      <c r="D15" s="4">
        <v>9176.683199999999</v>
      </c>
      <c r="E15" s="4">
        <v>41342.4</v>
      </c>
    </row>
    <row r="16" spans="1:5">
      <c r="A16" s="2" t="s">
        <v>5</v>
      </c>
      <c r="B16" s="2" t="s">
        <v>7</v>
      </c>
      <c r="C16" s="3">
        <v>1974</v>
      </c>
      <c r="D16" s="4">
        <v>2733.601</v>
      </c>
      <c r="E16" s="4">
        <v>13719.3</v>
      </c>
    </row>
    <row r="17" spans="1:5">
      <c r="A17" s="2" t="s">
        <v>5</v>
      </c>
      <c r="B17" s="2" t="s">
        <v>7</v>
      </c>
      <c r="C17" s="3">
        <v>2160</v>
      </c>
      <c r="D17" s="4">
        <v>1571.2908</v>
      </c>
      <c r="E17" s="4">
        <v>15033.6</v>
      </c>
    </row>
    <row r="18" spans="1:5">
      <c r="A18" s="2" t="s">
        <v>5</v>
      </c>
      <c r="B18" s="2" t="s">
        <v>7</v>
      </c>
      <c r="C18" s="3">
        <v>1974</v>
      </c>
      <c r="D18" s="4">
        <v>2733.601</v>
      </c>
      <c r="E18" s="4">
        <v>13719.3</v>
      </c>
    </row>
    <row r="19" spans="1:5">
      <c r="A19" s="2" t="s">
        <v>5</v>
      </c>
      <c r="B19" s="2" t="s">
        <v>8</v>
      </c>
      <c r="C19" s="3">
        <v>376.32</v>
      </c>
      <c r="D19" s="4">
        <v>-87.9255000000003</v>
      </c>
      <c r="E19" s="4">
        <v>2615.424</v>
      </c>
    </row>
    <row r="20" spans="1:5">
      <c r="A20" s="2" t="s">
        <v>5</v>
      </c>
      <c r="B20" s="2" t="s">
        <v>8</v>
      </c>
      <c r="C20" s="3">
        <v>384</v>
      </c>
      <c r="D20" s="4">
        <v>-205.75</v>
      </c>
      <c r="E20" s="4">
        <v>2672.64</v>
      </c>
    </row>
    <row r="21" spans="1:5">
      <c r="A21" s="2" t="s">
        <v>5</v>
      </c>
      <c r="B21" s="2" t="s">
        <v>8</v>
      </c>
      <c r="C21" s="3">
        <v>376.32</v>
      </c>
      <c r="D21" s="4">
        <v>-156.152</v>
      </c>
      <c r="E21" s="4">
        <v>2619.1872</v>
      </c>
    </row>
    <row r="22" spans="1:5">
      <c r="A22" s="2" t="s">
        <v>5</v>
      </c>
      <c r="B22" s="2" t="s">
        <v>8</v>
      </c>
      <c r="C22" s="3">
        <v>4719.6</v>
      </c>
      <c r="D22" s="4">
        <v>3787.807</v>
      </c>
      <c r="E22" s="4">
        <v>32801.22</v>
      </c>
    </row>
    <row r="23" spans="1:5">
      <c r="A23" s="2" t="s">
        <v>5</v>
      </c>
      <c r="B23" s="2" t="s">
        <v>8</v>
      </c>
      <c r="C23" s="3">
        <v>4681.6</v>
      </c>
      <c r="D23" s="4">
        <v>919.5432</v>
      </c>
      <c r="E23" s="4">
        <v>32583.936</v>
      </c>
    </row>
    <row r="24" spans="1:5">
      <c r="A24" s="2" t="s">
        <v>5</v>
      </c>
      <c r="B24" s="2" t="s">
        <v>8</v>
      </c>
      <c r="C24" s="3">
        <v>4833.6</v>
      </c>
      <c r="D24" s="4">
        <v>1767.582</v>
      </c>
      <c r="E24" s="4">
        <v>33641.856</v>
      </c>
    </row>
    <row r="25" spans="1:5">
      <c r="A25" s="2" t="s">
        <v>5</v>
      </c>
      <c r="B25" s="2" t="s">
        <v>8</v>
      </c>
      <c r="C25" s="3">
        <v>1725.89</v>
      </c>
      <c r="D25" s="4">
        <v>879.999400000002</v>
      </c>
      <c r="E25" s="4">
        <v>11977.6766</v>
      </c>
    </row>
    <row r="26" spans="1:5">
      <c r="A26" s="2" t="s">
        <v>5</v>
      </c>
      <c r="B26" s="2" t="s">
        <v>8</v>
      </c>
      <c r="C26" s="3">
        <v>1689.6</v>
      </c>
      <c r="D26" s="4">
        <v>777.791999999999</v>
      </c>
      <c r="E26" s="4">
        <v>11759.616</v>
      </c>
    </row>
    <row r="27" spans="1:5">
      <c r="A27" s="2" t="s">
        <v>5</v>
      </c>
      <c r="B27" s="2" t="s">
        <v>8</v>
      </c>
      <c r="C27" s="3">
        <v>1616</v>
      </c>
      <c r="D27" s="4">
        <v>1269.5719</v>
      </c>
      <c r="E27" s="4">
        <v>11263.52</v>
      </c>
    </row>
    <row r="28" spans="1:5">
      <c r="A28" s="2" t="s">
        <v>5</v>
      </c>
      <c r="B28" s="2" t="s">
        <v>8</v>
      </c>
      <c r="C28" s="3">
        <v>1664.26</v>
      </c>
      <c r="D28" s="4">
        <v>2378.8494</v>
      </c>
      <c r="E28" s="4">
        <v>11549.9644</v>
      </c>
    </row>
    <row r="29" spans="1:5">
      <c r="A29" s="2" t="s">
        <v>5</v>
      </c>
      <c r="B29" s="2" t="s">
        <v>8</v>
      </c>
      <c r="C29" s="3">
        <v>33.62</v>
      </c>
      <c r="D29" s="4">
        <v>47.9798</v>
      </c>
      <c r="E29" s="4">
        <v>233.3228</v>
      </c>
    </row>
    <row r="30" spans="1:5">
      <c r="A30" s="2" t="s">
        <v>5</v>
      </c>
      <c r="B30" s="2" t="s">
        <v>8</v>
      </c>
      <c r="C30" s="3">
        <v>1680</v>
      </c>
      <c r="D30" s="4">
        <v>1715.848</v>
      </c>
      <c r="E30" s="4">
        <v>11676</v>
      </c>
    </row>
    <row r="31" spans="1:5">
      <c r="A31" s="2" t="s">
        <v>5</v>
      </c>
      <c r="B31" s="2" t="s">
        <v>8</v>
      </c>
      <c r="C31" s="3">
        <v>1864.8</v>
      </c>
      <c r="D31" s="4">
        <v>3123.2236</v>
      </c>
      <c r="E31" s="4">
        <v>12997.656</v>
      </c>
    </row>
    <row r="32" spans="1:5">
      <c r="A32" s="2" t="s">
        <v>5</v>
      </c>
      <c r="B32" s="2" t="s">
        <v>8</v>
      </c>
      <c r="C32" s="3">
        <v>606.0599999999999</v>
      </c>
      <c r="D32" s="4">
        <v>-1177.951</v>
      </c>
      <c r="E32" s="4">
        <v>4212.116999999999</v>
      </c>
    </row>
    <row r="33" spans="1:5">
      <c r="A33" s="2" t="s">
        <v>5</v>
      </c>
      <c r="B33" s="2" t="s">
        <v>8</v>
      </c>
      <c r="C33" s="3">
        <v>529.96</v>
      </c>
      <c r="D33" s="4">
        <v>194.5438</v>
      </c>
      <c r="E33" s="4">
        <v>3677.9224</v>
      </c>
    </row>
    <row r="34" spans="1:5">
      <c r="A34" s="2" t="s">
        <v>5</v>
      </c>
      <c r="B34" s="2" t="s">
        <v>8</v>
      </c>
      <c r="C34" s="3">
        <v>16.39</v>
      </c>
      <c r="D34" s="4">
        <v>6.02859999999999</v>
      </c>
      <c r="E34" s="4">
        <v>113.7466</v>
      </c>
    </row>
    <row r="35" spans="1:5">
      <c r="A35" s="2" t="s">
        <v>5</v>
      </c>
      <c r="B35" s="2" t="s">
        <v>8</v>
      </c>
      <c r="C35" s="3">
        <v>546</v>
      </c>
      <c r="D35" s="4">
        <v>190.498</v>
      </c>
      <c r="E35" s="4">
        <v>3800.16</v>
      </c>
    </row>
    <row r="36" spans="1:5">
      <c r="A36" s="2" t="s">
        <v>5</v>
      </c>
      <c r="B36" s="2" t="s">
        <v>8</v>
      </c>
      <c r="C36" s="3">
        <v>1877.99</v>
      </c>
      <c r="D36" s="4">
        <v>3062.8246</v>
      </c>
      <c r="E36" s="4">
        <v>13033.2506</v>
      </c>
    </row>
    <row r="37" spans="1:5">
      <c r="A37" s="2" t="s">
        <v>5</v>
      </c>
      <c r="B37" s="2" t="s">
        <v>8</v>
      </c>
      <c r="C37" s="3">
        <v>183.72</v>
      </c>
      <c r="D37" s="4">
        <v>299.609</v>
      </c>
      <c r="E37" s="4">
        <v>1275.0168</v>
      </c>
    </row>
    <row r="38" spans="1:5">
      <c r="A38" s="2" t="s">
        <v>5</v>
      </c>
      <c r="B38" s="2" t="s">
        <v>8</v>
      </c>
      <c r="C38" s="3">
        <v>2040</v>
      </c>
      <c r="D38" s="4">
        <v>3290.5468</v>
      </c>
      <c r="E38" s="4">
        <v>14198.4</v>
      </c>
    </row>
    <row r="39" spans="1:5">
      <c r="A39" s="2" t="s">
        <v>5</v>
      </c>
      <c r="B39" s="2" t="s">
        <v>8</v>
      </c>
      <c r="C39" s="3">
        <v>2264.4</v>
      </c>
      <c r="D39" s="4">
        <v>4248.5795</v>
      </c>
      <c r="E39" s="4">
        <v>15782.868</v>
      </c>
    </row>
    <row r="40" spans="1:5">
      <c r="A40" s="2" t="s">
        <v>5</v>
      </c>
      <c r="B40" s="2" t="s">
        <v>8</v>
      </c>
      <c r="C40" s="3">
        <v>2347.49</v>
      </c>
      <c r="D40" s="4">
        <v>2138.0094</v>
      </c>
      <c r="E40" s="4">
        <v>16291.5806</v>
      </c>
    </row>
    <row r="41" spans="1:5">
      <c r="A41" s="2" t="s">
        <v>5</v>
      </c>
      <c r="B41" s="2" t="s">
        <v>8</v>
      </c>
      <c r="C41" s="3">
        <v>229.65</v>
      </c>
      <c r="D41" s="4">
        <v>209.1708</v>
      </c>
      <c r="E41" s="4">
        <v>1593.771</v>
      </c>
    </row>
    <row r="42" spans="1:5">
      <c r="A42" s="2" t="s">
        <v>5</v>
      </c>
      <c r="B42" s="2" t="s">
        <v>8</v>
      </c>
      <c r="C42" s="3">
        <v>2550</v>
      </c>
      <c r="D42" s="4">
        <v>2291.7412</v>
      </c>
      <c r="E42" s="4">
        <v>17748</v>
      </c>
    </row>
    <row r="43" spans="1:5">
      <c r="A43" s="2" t="s">
        <v>5</v>
      </c>
      <c r="B43" s="2" t="s">
        <v>8</v>
      </c>
      <c r="C43" s="3">
        <v>2830.5</v>
      </c>
      <c r="D43" s="4">
        <v>3262.5043</v>
      </c>
      <c r="E43" s="4">
        <v>19728.585</v>
      </c>
    </row>
    <row r="44" spans="1:5">
      <c r="A44" s="2" t="s">
        <v>5</v>
      </c>
      <c r="B44" s="2" t="s">
        <v>8</v>
      </c>
      <c r="C44" s="3">
        <v>3120</v>
      </c>
      <c r="D44" s="4">
        <v>3544.3936</v>
      </c>
      <c r="E44" s="4">
        <v>21715.2</v>
      </c>
    </row>
    <row r="45" spans="1:5">
      <c r="A45" s="2" t="s">
        <v>5</v>
      </c>
      <c r="B45" s="2" t="s">
        <v>8</v>
      </c>
      <c r="C45" s="3">
        <v>5409.6</v>
      </c>
      <c r="D45" s="4">
        <v>5647.79840000001</v>
      </c>
      <c r="E45" s="4">
        <v>37650.816</v>
      </c>
    </row>
    <row r="46" spans="1:5">
      <c r="A46" s="2" t="s">
        <v>5</v>
      </c>
      <c r="B46" s="2" t="s">
        <v>8</v>
      </c>
      <c r="C46" s="3">
        <v>3585.6</v>
      </c>
      <c r="D46" s="4">
        <v>4125.26</v>
      </c>
      <c r="E46" s="4">
        <v>24955.776</v>
      </c>
    </row>
    <row r="47" spans="1:5">
      <c r="A47" s="2" t="s">
        <v>5</v>
      </c>
      <c r="B47" s="2" t="s">
        <v>8</v>
      </c>
      <c r="C47" s="3">
        <v>4358.4</v>
      </c>
      <c r="D47" s="4">
        <v>4482.6712</v>
      </c>
      <c r="E47" s="4">
        <v>30334.464</v>
      </c>
    </row>
    <row r="48" spans="1:5">
      <c r="A48" s="2" t="s">
        <v>5</v>
      </c>
      <c r="B48" s="2" t="s">
        <v>8</v>
      </c>
      <c r="C48" s="3">
        <v>3345.6</v>
      </c>
      <c r="D48" s="4">
        <v>3825.8428</v>
      </c>
      <c r="E48" s="4">
        <v>23285.376</v>
      </c>
    </row>
    <row r="49" spans="1:5">
      <c r="A49" s="2" t="s">
        <v>5</v>
      </c>
      <c r="B49" s="2" t="s">
        <v>8</v>
      </c>
      <c r="C49" s="3">
        <v>4180.8</v>
      </c>
      <c r="D49" s="4">
        <v>4867.7788</v>
      </c>
      <c r="E49" s="4">
        <v>29098.368</v>
      </c>
    </row>
    <row r="50" spans="1:5">
      <c r="A50" s="2" t="s">
        <v>5</v>
      </c>
      <c r="B50" s="2" t="s">
        <v>9</v>
      </c>
      <c r="C50" s="3">
        <v>22368</v>
      </c>
      <c r="D50" s="4">
        <v>18297.8174</v>
      </c>
      <c r="E50" s="4">
        <v>155904.96</v>
      </c>
    </row>
    <row r="51" spans="1:5">
      <c r="A51" s="2" t="s">
        <v>5</v>
      </c>
      <c r="B51" s="2" t="s">
        <v>9</v>
      </c>
      <c r="C51" s="3">
        <v>3197.7</v>
      </c>
      <c r="D51" s="4">
        <v>2805.844</v>
      </c>
      <c r="E51" s="4">
        <v>22224.015</v>
      </c>
    </row>
    <row r="52" spans="1:5">
      <c r="A52" s="2" t="s">
        <v>5</v>
      </c>
      <c r="B52" s="2" t="s">
        <v>9</v>
      </c>
      <c r="C52" s="3">
        <v>8709.120000000001</v>
      </c>
      <c r="D52" s="4">
        <v>1299.87200000002</v>
      </c>
      <c r="E52" s="4">
        <v>60528.38400000001</v>
      </c>
    </row>
    <row r="53" spans="1:5">
      <c r="A53" s="2" t="s">
        <v>10</v>
      </c>
      <c r="B53" s="2" t="s">
        <v>6</v>
      </c>
      <c r="C53" s="3">
        <v>957.6</v>
      </c>
      <c r="D53" s="4">
        <v>548.37</v>
      </c>
      <c r="E53" s="4">
        <v>6607.440000000001</v>
      </c>
    </row>
    <row r="54" spans="1:5">
      <c r="A54" s="2" t="s">
        <v>10</v>
      </c>
      <c r="B54" s="2" t="s">
        <v>6</v>
      </c>
      <c r="C54" s="3">
        <v>1689.6</v>
      </c>
      <c r="D54" s="4">
        <v>1304.2384</v>
      </c>
      <c r="E54" s="4">
        <v>11692.032</v>
      </c>
    </row>
    <row r="55" spans="1:5">
      <c r="A55" s="2" t="s">
        <v>10</v>
      </c>
      <c r="B55" s="2" t="s">
        <v>6</v>
      </c>
      <c r="C55" s="3">
        <v>1229.76</v>
      </c>
      <c r="D55" s="4">
        <v>-904.592</v>
      </c>
      <c r="E55" s="4">
        <v>8509.939200000001</v>
      </c>
    </row>
    <row r="56" spans="1:5">
      <c r="A56" s="2" t="s">
        <v>10</v>
      </c>
      <c r="B56" s="2" t="s">
        <v>6</v>
      </c>
      <c r="C56" s="3">
        <v>726</v>
      </c>
      <c r="D56" s="4">
        <v>750.379999999999</v>
      </c>
      <c r="E56" s="4">
        <v>5009.400000000001</v>
      </c>
    </row>
    <row r="57" spans="1:5">
      <c r="A57" s="2" t="s">
        <v>10</v>
      </c>
      <c r="B57" s="2" t="s">
        <v>6</v>
      </c>
      <c r="C57" s="3">
        <v>132</v>
      </c>
      <c r="D57" s="4">
        <v>136.491</v>
      </c>
      <c r="E57" s="4">
        <v>910.8000000000001</v>
      </c>
    </row>
    <row r="58" spans="1:5">
      <c r="A58" s="2" t="s">
        <v>10</v>
      </c>
      <c r="B58" s="2" t="s">
        <v>6</v>
      </c>
      <c r="C58" s="3">
        <v>628.3200000000001</v>
      </c>
      <c r="D58" s="4">
        <v>511.3128</v>
      </c>
      <c r="E58" s="4">
        <v>4347.9744</v>
      </c>
    </row>
    <row r="59" spans="1:5">
      <c r="A59" s="2" t="s">
        <v>10</v>
      </c>
      <c r="B59" s="2" t="s">
        <v>6</v>
      </c>
      <c r="C59" s="3">
        <v>835.2</v>
      </c>
      <c r="D59" s="4">
        <v>276.6237</v>
      </c>
      <c r="E59" s="4">
        <v>5754.528</v>
      </c>
    </row>
    <row r="60" spans="1:5">
      <c r="A60" s="2" t="s">
        <v>10</v>
      </c>
      <c r="B60" s="2" t="s">
        <v>6</v>
      </c>
      <c r="C60" s="3">
        <v>201.6</v>
      </c>
      <c r="D60" s="4">
        <v>66.7606999999998</v>
      </c>
      <c r="E60" s="4">
        <v>1389.024</v>
      </c>
    </row>
    <row r="61" spans="1:5">
      <c r="A61" s="2" t="s">
        <v>10</v>
      </c>
      <c r="B61" s="2" t="s">
        <v>6</v>
      </c>
      <c r="C61" s="3">
        <v>1134</v>
      </c>
      <c r="D61" s="4">
        <v>718.888799999999</v>
      </c>
      <c r="E61" s="4">
        <v>7847.28</v>
      </c>
    </row>
    <row r="62" spans="1:5">
      <c r="A62" s="2" t="s">
        <v>10</v>
      </c>
      <c r="B62" s="2" t="s">
        <v>6</v>
      </c>
      <c r="C62" s="3">
        <v>648</v>
      </c>
      <c r="D62" s="4">
        <v>-192.226</v>
      </c>
      <c r="E62" s="4">
        <v>4464.719999999999</v>
      </c>
    </row>
    <row r="63" spans="1:5">
      <c r="A63" s="2" t="s">
        <v>10</v>
      </c>
      <c r="B63" s="2" t="s">
        <v>6</v>
      </c>
      <c r="C63" s="3">
        <v>129.6</v>
      </c>
      <c r="D63" s="4">
        <v>-38.4532000000001</v>
      </c>
      <c r="E63" s="4">
        <v>892.944</v>
      </c>
    </row>
    <row r="64" spans="1:5">
      <c r="A64" s="2" t="s">
        <v>10</v>
      </c>
      <c r="B64" s="2" t="s">
        <v>6</v>
      </c>
      <c r="C64" s="3">
        <v>1169.28</v>
      </c>
      <c r="D64" s="4">
        <v>282.4225</v>
      </c>
      <c r="E64" s="4">
        <v>8009.567999999999</v>
      </c>
    </row>
    <row r="65" spans="1:5">
      <c r="A65" s="2" t="s">
        <v>10</v>
      </c>
      <c r="B65" s="2" t="s">
        <v>6</v>
      </c>
      <c r="C65" s="3">
        <v>930</v>
      </c>
      <c r="D65" s="4">
        <v>-578.871</v>
      </c>
      <c r="E65" s="4">
        <v>6370.5</v>
      </c>
    </row>
    <row r="66" spans="1:5">
      <c r="A66" s="2" t="s">
        <v>10</v>
      </c>
      <c r="B66" s="2" t="s">
        <v>7</v>
      </c>
      <c r="C66" s="3">
        <v>2256</v>
      </c>
      <c r="D66" s="4">
        <v>1054.2887</v>
      </c>
      <c r="E66" s="4">
        <v>15634.08</v>
      </c>
    </row>
    <row r="67" spans="1:5">
      <c r="A67" s="2" t="s">
        <v>10</v>
      </c>
      <c r="B67" s="2" t="s">
        <v>7</v>
      </c>
      <c r="C67" s="3">
        <v>750</v>
      </c>
      <c r="D67" s="4">
        <v>-1480.1225</v>
      </c>
      <c r="E67" s="4">
        <v>5197.5</v>
      </c>
    </row>
    <row r="68" spans="1:5">
      <c r="A68" s="2" t="s">
        <v>10</v>
      </c>
      <c r="B68" s="2" t="s">
        <v>7</v>
      </c>
      <c r="C68" s="3">
        <v>1330.56</v>
      </c>
      <c r="D68" s="4">
        <v>868.888500000001</v>
      </c>
      <c r="E68" s="4">
        <v>9220.780799999999</v>
      </c>
    </row>
    <row r="69" spans="1:5">
      <c r="A69" s="2" t="s">
        <v>10</v>
      </c>
      <c r="B69" s="2" t="s">
        <v>7</v>
      </c>
      <c r="C69" s="3">
        <v>1330.56</v>
      </c>
      <c r="D69" s="4">
        <v>1045.721</v>
      </c>
      <c r="E69" s="4">
        <v>9180.864</v>
      </c>
    </row>
    <row r="70" spans="1:5">
      <c r="A70" s="2" t="s">
        <v>10</v>
      </c>
      <c r="B70" s="2" t="s">
        <v>7</v>
      </c>
      <c r="C70" s="3">
        <v>1401.12</v>
      </c>
      <c r="D70" s="4">
        <v>841.270699999999</v>
      </c>
      <c r="E70" s="4">
        <v>9709.761599999998</v>
      </c>
    </row>
    <row r="71" spans="1:5">
      <c r="A71" s="2" t="s">
        <v>10</v>
      </c>
      <c r="B71" s="2" t="s">
        <v>7</v>
      </c>
      <c r="C71" s="3">
        <v>1401.12</v>
      </c>
      <c r="D71" s="4">
        <v>871</v>
      </c>
      <c r="E71" s="4">
        <v>9667.727999999999</v>
      </c>
    </row>
    <row r="72" spans="1:5">
      <c r="A72" s="2" t="s">
        <v>10</v>
      </c>
      <c r="B72" s="2" t="s">
        <v>7</v>
      </c>
      <c r="C72" s="3">
        <v>1800</v>
      </c>
      <c r="D72" s="4">
        <v>-1213.6998</v>
      </c>
      <c r="E72" s="4">
        <v>12474</v>
      </c>
    </row>
    <row r="73" spans="1:5">
      <c r="A73" s="2" t="s">
        <v>10</v>
      </c>
      <c r="B73" s="2" t="s">
        <v>7</v>
      </c>
      <c r="C73" s="3">
        <v>1968</v>
      </c>
      <c r="D73" s="4">
        <v>-1421.198</v>
      </c>
      <c r="E73" s="4">
        <v>13579.2</v>
      </c>
    </row>
    <row r="74" spans="1:5">
      <c r="A74" s="2" t="s">
        <v>10</v>
      </c>
      <c r="B74" s="2" t="s">
        <v>7</v>
      </c>
      <c r="C74" s="3">
        <v>12947.04</v>
      </c>
      <c r="D74" s="4">
        <v>-815.434599999975</v>
      </c>
      <c r="E74" s="4">
        <v>89852.45760000001</v>
      </c>
    </row>
    <row r="75" spans="1:5">
      <c r="A75" s="2" t="s">
        <v>10</v>
      </c>
      <c r="B75" s="2" t="s">
        <v>7</v>
      </c>
      <c r="C75" s="3">
        <v>4048.08</v>
      </c>
      <c r="D75" s="4">
        <v>4987.4682</v>
      </c>
      <c r="E75" s="4">
        <v>28053.1944</v>
      </c>
    </row>
    <row r="76" spans="1:5">
      <c r="A76" s="2" t="s">
        <v>10</v>
      </c>
      <c r="B76" s="2" t="s">
        <v>7</v>
      </c>
      <c r="C76" s="3">
        <v>8640</v>
      </c>
      <c r="D76" s="4">
        <v>1849.7388</v>
      </c>
      <c r="E76" s="4">
        <v>59961.60000000001</v>
      </c>
    </row>
    <row r="77" spans="1:5">
      <c r="A77" s="2" t="s">
        <v>10</v>
      </c>
      <c r="B77" s="2" t="s">
        <v>11</v>
      </c>
      <c r="C77" s="3">
        <v>846</v>
      </c>
      <c r="D77" s="4">
        <v>231.5134</v>
      </c>
      <c r="E77" s="4">
        <v>5812.02</v>
      </c>
    </row>
    <row r="78" spans="1:5">
      <c r="A78" s="2" t="s">
        <v>10</v>
      </c>
      <c r="B78" s="2" t="s">
        <v>11</v>
      </c>
      <c r="C78" s="3">
        <v>1800</v>
      </c>
      <c r="D78" s="4">
        <v>4199.8784</v>
      </c>
      <c r="E78" s="4">
        <v>12366</v>
      </c>
    </row>
    <row r="79" spans="1:5">
      <c r="A79" s="2" t="s">
        <v>10</v>
      </c>
      <c r="B79" s="2" t="s">
        <v>11</v>
      </c>
      <c r="C79" s="3">
        <v>927</v>
      </c>
      <c r="D79" s="4">
        <v>-2482.571</v>
      </c>
      <c r="E79" s="4">
        <v>6396.3</v>
      </c>
    </row>
    <row r="80" spans="1:5">
      <c r="A80" s="2" t="s">
        <v>10</v>
      </c>
      <c r="B80" s="2" t="s">
        <v>11</v>
      </c>
      <c r="C80" s="3">
        <v>804.96</v>
      </c>
      <c r="D80" s="4">
        <v>1619.9742</v>
      </c>
      <c r="E80" s="4">
        <v>5530.0752</v>
      </c>
    </row>
    <row r="81" spans="1:5">
      <c r="A81" s="2" t="s">
        <v>10</v>
      </c>
      <c r="B81" s="2" t="s">
        <v>11</v>
      </c>
      <c r="C81" s="3">
        <v>4452.8</v>
      </c>
      <c r="D81" s="4">
        <v>8696.0108</v>
      </c>
      <c r="E81" s="4">
        <v>30813.376</v>
      </c>
    </row>
    <row r="82" spans="1:5">
      <c r="A82" s="2" t="s">
        <v>10</v>
      </c>
      <c r="B82" s="2" t="s">
        <v>11</v>
      </c>
      <c r="C82" s="3">
        <v>1026</v>
      </c>
      <c r="D82" s="4">
        <v>152.3532</v>
      </c>
      <c r="E82" s="4">
        <v>7099.92</v>
      </c>
    </row>
    <row r="83" spans="1:5">
      <c r="A83" s="2" t="s">
        <v>10</v>
      </c>
      <c r="B83" s="2" t="s">
        <v>11</v>
      </c>
      <c r="C83" s="3">
        <v>4000</v>
      </c>
      <c r="D83" s="4">
        <v>3836.74</v>
      </c>
      <c r="E83" s="4">
        <v>27560</v>
      </c>
    </row>
    <row r="84" spans="1:5">
      <c r="A84" s="2" t="s">
        <v>10</v>
      </c>
      <c r="B84" s="2" t="s">
        <v>11</v>
      </c>
      <c r="C84" s="3">
        <v>1814.4</v>
      </c>
      <c r="D84" s="4">
        <v>-1061.686</v>
      </c>
      <c r="E84" s="4">
        <v>12555.648</v>
      </c>
    </row>
    <row r="85" spans="1:5">
      <c r="A85" s="2" t="s">
        <v>10</v>
      </c>
      <c r="B85" s="2" t="s">
        <v>12</v>
      </c>
      <c r="C85" s="3">
        <v>860</v>
      </c>
      <c r="D85" s="4">
        <v>148.803499999999</v>
      </c>
      <c r="E85" s="4">
        <v>5891</v>
      </c>
    </row>
    <row r="86" spans="1:5">
      <c r="A86" s="2" t="s">
        <v>10</v>
      </c>
      <c r="B86" s="2" t="s">
        <v>12</v>
      </c>
      <c r="C86" s="3">
        <v>3024</v>
      </c>
      <c r="D86" s="4">
        <v>3488.245</v>
      </c>
      <c r="E86" s="4">
        <v>20714.4</v>
      </c>
    </row>
    <row r="87" spans="1:5">
      <c r="A87" s="2" t="s">
        <v>10</v>
      </c>
      <c r="B87" s="2" t="s">
        <v>12</v>
      </c>
      <c r="C87" s="3">
        <v>1764</v>
      </c>
      <c r="D87" s="4">
        <v>-492.690000000001</v>
      </c>
      <c r="E87" s="4">
        <v>12206.88</v>
      </c>
    </row>
    <row r="88" spans="1:5">
      <c r="A88" s="2" t="s">
        <v>10</v>
      </c>
      <c r="B88" s="2" t="s">
        <v>12</v>
      </c>
      <c r="C88" s="3">
        <v>1159.59</v>
      </c>
      <c r="D88" s="4">
        <v>-438.512</v>
      </c>
      <c r="E88" s="4">
        <v>8001.171</v>
      </c>
    </row>
    <row r="89" spans="1:5">
      <c r="A89" s="2" t="s">
        <v>10</v>
      </c>
      <c r="B89" s="2" t="s">
        <v>12</v>
      </c>
      <c r="C89" s="3">
        <v>716.8</v>
      </c>
      <c r="D89" s="4">
        <v>706.3817</v>
      </c>
      <c r="E89" s="4">
        <v>4938.751999999999</v>
      </c>
    </row>
    <row r="90" spans="1:5">
      <c r="A90" s="2" t="s">
        <v>10</v>
      </c>
      <c r="B90" s="2" t="s">
        <v>12</v>
      </c>
      <c r="C90" s="3">
        <v>594.72</v>
      </c>
      <c r="D90" s="4">
        <v>423.928400000001</v>
      </c>
      <c r="E90" s="4">
        <v>4097.6208</v>
      </c>
    </row>
    <row r="91" spans="1:5">
      <c r="A91" s="2" t="s">
        <v>10</v>
      </c>
      <c r="B91" s="2" t="s">
        <v>12</v>
      </c>
      <c r="C91" s="3">
        <v>429.48</v>
      </c>
      <c r="D91" s="4">
        <v>-162.421</v>
      </c>
      <c r="E91" s="4">
        <v>2963.412</v>
      </c>
    </row>
    <row r="92" spans="1:5">
      <c r="A92" s="2" t="s">
        <v>10</v>
      </c>
      <c r="B92" s="2" t="s">
        <v>12</v>
      </c>
      <c r="C92" s="3">
        <v>1939.2</v>
      </c>
      <c r="D92" s="4">
        <v>853.8457</v>
      </c>
      <c r="E92" s="4">
        <v>13361.088</v>
      </c>
    </row>
    <row r="93" spans="1:5">
      <c r="A93" s="2" t="s">
        <v>10</v>
      </c>
      <c r="B93" s="2" t="s">
        <v>12</v>
      </c>
      <c r="C93" s="3">
        <v>1288.43</v>
      </c>
      <c r="D93" s="4">
        <v>-766.022999999999</v>
      </c>
      <c r="E93" s="4">
        <v>8890.167000000001</v>
      </c>
    </row>
    <row r="94" spans="1:5">
      <c r="A94" s="2" t="s">
        <v>10</v>
      </c>
      <c r="B94" s="2" t="s">
        <v>12</v>
      </c>
      <c r="C94" s="3">
        <v>1008</v>
      </c>
      <c r="D94" s="4">
        <v>700.2344000000001</v>
      </c>
      <c r="E94" s="4">
        <v>6945.12</v>
      </c>
    </row>
    <row r="95" spans="1:5">
      <c r="A95" s="2" t="s">
        <v>10</v>
      </c>
      <c r="B95" s="2" t="s">
        <v>12</v>
      </c>
      <c r="C95" s="3">
        <v>786.24</v>
      </c>
      <c r="D95" s="4">
        <v>887.0112</v>
      </c>
      <c r="E95" s="4">
        <v>5417.1936</v>
      </c>
    </row>
    <row r="96" spans="1:5">
      <c r="A96" s="2" t="s">
        <v>10</v>
      </c>
      <c r="B96" s="2" t="s">
        <v>12</v>
      </c>
      <c r="C96" s="3">
        <v>1764</v>
      </c>
      <c r="D96" s="4">
        <v>2184.4091</v>
      </c>
      <c r="E96" s="4">
        <v>12153.96</v>
      </c>
    </row>
    <row r="97" spans="1:5">
      <c r="A97" s="2" t="s">
        <v>10</v>
      </c>
      <c r="B97" s="2" t="s">
        <v>12</v>
      </c>
      <c r="C97" s="3">
        <v>3063.04</v>
      </c>
      <c r="D97" s="4">
        <v>107.525</v>
      </c>
      <c r="E97" s="4">
        <v>21134.976</v>
      </c>
    </row>
    <row r="98" spans="1:5">
      <c r="A98" s="2" t="s">
        <v>10</v>
      </c>
      <c r="B98" s="2" t="s">
        <v>12</v>
      </c>
      <c r="C98" s="3">
        <v>786.24</v>
      </c>
      <c r="D98" s="4">
        <v>887.0112</v>
      </c>
      <c r="E98" s="4">
        <v>5417.1936</v>
      </c>
    </row>
    <row r="99" spans="1:5">
      <c r="A99" s="2" t="s">
        <v>10</v>
      </c>
      <c r="B99" s="2" t="s">
        <v>12</v>
      </c>
      <c r="C99" s="3">
        <v>716.8</v>
      </c>
      <c r="D99" s="4">
        <v>706.3817</v>
      </c>
      <c r="E99" s="4">
        <v>4938.751999999999</v>
      </c>
    </row>
    <row r="100" spans="1:5">
      <c r="A100" s="2" t="s">
        <v>10</v>
      </c>
      <c r="B100" s="2" t="s">
        <v>12</v>
      </c>
      <c r="C100" s="3">
        <v>5105.07</v>
      </c>
      <c r="D100" s="4">
        <v>1736.74800000001</v>
      </c>
      <c r="E100" s="4">
        <v>35224.983</v>
      </c>
    </row>
    <row r="101" spans="1:5">
      <c r="A101" s="2" t="s">
        <v>10</v>
      </c>
      <c r="B101" s="2" t="s">
        <v>12</v>
      </c>
      <c r="C101" s="3">
        <v>716.8</v>
      </c>
      <c r="D101" s="4">
        <v>706.3817</v>
      </c>
      <c r="E101" s="4">
        <v>4938.751999999999</v>
      </c>
    </row>
    <row r="102" spans="1:5">
      <c r="A102" s="2" t="s">
        <v>10</v>
      </c>
      <c r="B102" s="2" t="s">
        <v>12</v>
      </c>
      <c r="C102" s="3">
        <v>3750</v>
      </c>
      <c r="D102" s="4">
        <v>1394.828</v>
      </c>
      <c r="E102" s="4">
        <v>25950</v>
      </c>
    </row>
    <row r="103" spans="1:5">
      <c r="A103" s="2" t="s">
        <v>10</v>
      </c>
      <c r="B103" s="2" t="s">
        <v>12</v>
      </c>
      <c r="C103" s="3">
        <v>1519.8</v>
      </c>
      <c r="D103" s="4">
        <v>-595.022</v>
      </c>
      <c r="E103" s="4">
        <v>10517.016</v>
      </c>
    </row>
    <row r="104" spans="1:5">
      <c r="A104" s="2" t="s">
        <v>10</v>
      </c>
      <c r="B104" s="2" t="s">
        <v>12</v>
      </c>
      <c r="C104" s="3">
        <v>1159.59</v>
      </c>
      <c r="D104" s="4">
        <v>-689.402</v>
      </c>
      <c r="E104" s="4">
        <v>8001.171</v>
      </c>
    </row>
    <row r="105" spans="1:5">
      <c r="A105" s="2" t="s">
        <v>10</v>
      </c>
      <c r="B105" s="2" t="s">
        <v>12</v>
      </c>
      <c r="C105" s="3">
        <v>6750</v>
      </c>
      <c r="D105" s="4">
        <v>2510.6292</v>
      </c>
      <c r="E105" s="4">
        <v>46710</v>
      </c>
    </row>
    <row r="106" spans="1:5">
      <c r="A106" s="2" t="s">
        <v>10</v>
      </c>
      <c r="B106" s="2" t="s">
        <v>13</v>
      </c>
      <c r="C106" s="3">
        <v>1310.4</v>
      </c>
      <c r="D106" s="4">
        <v>-1381.3053</v>
      </c>
      <c r="E106" s="4">
        <v>9028.656000000001</v>
      </c>
    </row>
    <row r="107" spans="1:5">
      <c r="A107" s="2" t="s">
        <v>10</v>
      </c>
      <c r="B107" s="2" t="s">
        <v>13</v>
      </c>
      <c r="C107" s="3">
        <v>930.78</v>
      </c>
      <c r="D107" s="4">
        <v>1071.521</v>
      </c>
      <c r="E107" s="4">
        <v>6422.382000000001</v>
      </c>
    </row>
    <row r="108" spans="1:5">
      <c r="A108" s="2" t="s">
        <v>10</v>
      </c>
      <c r="B108" s="2" t="s">
        <v>13</v>
      </c>
      <c r="C108" s="3">
        <v>1936.02</v>
      </c>
      <c r="D108" s="4">
        <v>469.207000000001</v>
      </c>
      <c r="E108" s="4">
        <v>13358.538</v>
      </c>
    </row>
    <row r="109" spans="1:5">
      <c r="A109" s="2" t="s">
        <v>10</v>
      </c>
      <c r="B109" s="2" t="s">
        <v>13</v>
      </c>
      <c r="C109" s="3">
        <v>1936.02</v>
      </c>
      <c r="D109" s="4">
        <v>469.207000000001</v>
      </c>
      <c r="E109" s="4">
        <v>13358.538</v>
      </c>
    </row>
    <row r="110" spans="1:5">
      <c r="A110" s="2" t="s">
        <v>10</v>
      </c>
      <c r="B110" s="2" t="s">
        <v>13</v>
      </c>
      <c r="C110" s="3">
        <v>1209.6</v>
      </c>
      <c r="D110" s="4">
        <v>-1519.7143</v>
      </c>
      <c r="E110" s="4">
        <v>8334.143999999998</v>
      </c>
    </row>
    <row r="111" spans="1:5">
      <c r="A111" s="2" t="s">
        <v>10</v>
      </c>
      <c r="B111" s="2" t="s">
        <v>13</v>
      </c>
      <c r="C111" s="3">
        <v>3260.4</v>
      </c>
      <c r="D111" s="4">
        <v>-1361.218</v>
      </c>
      <c r="E111" s="4">
        <v>22496.76</v>
      </c>
    </row>
    <row r="112" spans="1:5">
      <c r="A112" s="2" t="s">
        <v>10</v>
      </c>
      <c r="B112" s="2" t="s">
        <v>13</v>
      </c>
      <c r="C112" s="3">
        <v>2619.97</v>
      </c>
      <c r="D112" s="4">
        <v>-1118.198</v>
      </c>
      <c r="E112" s="4">
        <v>18077.793</v>
      </c>
    </row>
    <row r="113" spans="1:5">
      <c r="A113" s="2" t="s">
        <v>10</v>
      </c>
      <c r="B113" s="2" t="s">
        <v>13</v>
      </c>
      <c r="C113" s="3">
        <v>1416</v>
      </c>
      <c r="D113" s="4">
        <v>489.761000000001</v>
      </c>
      <c r="E113" s="4">
        <v>9770.4</v>
      </c>
    </row>
    <row r="114" spans="1:5">
      <c r="A114" s="2" t="s">
        <v>10</v>
      </c>
      <c r="B114" s="2" t="s">
        <v>13</v>
      </c>
      <c r="C114" s="3">
        <v>1650</v>
      </c>
      <c r="D114" s="4">
        <v>1355.205</v>
      </c>
      <c r="E114" s="4">
        <v>11385</v>
      </c>
    </row>
    <row r="115" spans="1:5">
      <c r="A115" s="2" t="s">
        <v>10</v>
      </c>
      <c r="B115" s="2" t="s">
        <v>13</v>
      </c>
      <c r="C115" s="3">
        <v>1875</v>
      </c>
      <c r="D115" s="4">
        <v>2677.963</v>
      </c>
      <c r="E115" s="4">
        <v>12937.5</v>
      </c>
    </row>
    <row r="116" spans="1:5">
      <c r="A116" s="2" t="s">
        <v>10</v>
      </c>
      <c r="B116" s="2" t="s">
        <v>13</v>
      </c>
      <c r="C116" s="3">
        <v>1248</v>
      </c>
      <c r="D116" s="4">
        <v>1165.591</v>
      </c>
      <c r="E116" s="4">
        <v>8548.799999999999</v>
      </c>
    </row>
    <row r="117" spans="1:5">
      <c r="A117" s="2" t="s">
        <v>10</v>
      </c>
      <c r="B117" s="2" t="s">
        <v>9</v>
      </c>
      <c r="C117" s="3">
        <v>6960</v>
      </c>
      <c r="D117" s="4">
        <v>7838.412</v>
      </c>
      <c r="E117" s="4">
        <v>48024</v>
      </c>
    </row>
    <row r="118" spans="1:5">
      <c r="A118" s="2" t="s">
        <v>10</v>
      </c>
      <c r="B118" s="2" t="s">
        <v>9</v>
      </c>
      <c r="C118" s="3">
        <v>3605.76</v>
      </c>
      <c r="D118" s="4">
        <v>-27188.7764</v>
      </c>
      <c r="E118" s="4">
        <v>24987.9168</v>
      </c>
    </row>
    <row r="119" spans="1:5">
      <c r="A119" s="2" t="s">
        <v>14</v>
      </c>
      <c r="B119" s="2" t="s">
        <v>6</v>
      </c>
      <c r="C119" s="3">
        <v>957.6</v>
      </c>
      <c r="D119" s="4">
        <v>505.12</v>
      </c>
      <c r="E119" s="4">
        <v>6607.440000000001</v>
      </c>
    </row>
    <row r="120" spans="1:5">
      <c r="A120" s="2" t="s">
        <v>14</v>
      </c>
      <c r="B120" s="2" t="s">
        <v>6</v>
      </c>
      <c r="C120" s="3">
        <v>732</v>
      </c>
      <c r="D120" s="4">
        <v>-1258.2744</v>
      </c>
      <c r="E120" s="4">
        <v>5028.84</v>
      </c>
    </row>
    <row r="121" spans="1:5">
      <c r="A121" s="2" t="s">
        <v>14</v>
      </c>
      <c r="B121" s="2" t="s">
        <v>6</v>
      </c>
      <c r="C121" s="3">
        <v>960.48</v>
      </c>
      <c r="D121" s="4">
        <v>372.156000000001</v>
      </c>
      <c r="E121" s="4">
        <v>6627.312000000001</v>
      </c>
    </row>
    <row r="122" spans="1:5">
      <c r="A122" s="2" t="s">
        <v>14</v>
      </c>
      <c r="B122" s="2" t="s">
        <v>6</v>
      </c>
      <c r="C122" s="3">
        <v>1108.8</v>
      </c>
      <c r="D122" s="4">
        <v>-1111.2752</v>
      </c>
      <c r="E122" s="4">
        <v>7617.456</v>
      </c>
    </row>
    <row r="123" spans="1:5">
      <c r="A123" s="2" t="s">
        <v>14</v>
      </c>
      <c r="B123" s="2" t="s">
        <v>6</v>
      </c>
      <c r="C123" s="3">
        <v>1236</v>
      </c>
      <c r="D123" s="4">
        <v>-34.308500000001</v>
      </c>
      <c r="E123" s="4">
        <v>8516.039999999999</v>
      </c>
    </row>
    <row r="124" spans="1:5">
      <c r="A124" s="2" t="s">
        <v>14</v>
      </c>
      <c r="B124" s="2" t="s">
        <v>6</v>
      </c>
      <c r="C124" s="3">
        <v>943.92</v>
      </c>
      <c r="D124" s="4">
        <v>363.494499999999</v>
      </c>
      <c r="E124" s="4">
        <v>6465.851999999999</v>
      </c>
    </row>
    <row r="125" spans="1:5">
      <c r="A125" s="2" t="s">
        <v>14</v>
      </c>
      <c r="B125" s="2" t="s">
        <v>6</v>
      </c>
      <c r="C125" s="3">
        <v>2440</v>
      </c>
      <c r="D125" s="4">
        <v>762.606000000001</v>
      </c>
      <c r="E125" s="4">
        <v>16836</v>
      </c>
    </row>
    <row r="126" spans="1:5">
      <c r="A126" s="2" t="s">
        <v>14</v>
      </c>
      <c r="B126" s="2" t="s">
        <v>6</v>
      </c>
      <c r="C126" s="3">
        <v>675.36</v>
      </c>
      <c r="D126" s="4">
        <v>-590.027</v>
      </c>
      <c r="E126" s="4">
        <v>4626.215999999999</v>
      </c>
    </row>
    <row r="127" spans="1:5">
      <c r="A127" s="2" t="s">
        <v>14</v>
      </c>
      <c r="B127" s="2" t="s">
        <v>7</v>
      </c>
      <c r="C127" s="3">
        <v>1250</v>
      </c>
      <c r="D127" s="4">
        <v>-535.8825000000001</v>
      </c>
      <c r="E127" s="4">
        <v>8587.5</v>
      </c>
    </row>
    <row r="128" spans="1:5">
      <c r="A128" s="2" t="s">
        <v>14</v>
      </c>
      <c r="B128" s="2" t="s">
        <v>11</v>
      </c>
      <c r="C128" s="3">
        <v>391.68</v>
      </c>
      <c r="D128" s="4">
        <v>-67.69919999999981</v>
      </c>
      <c r="E128" s="4">
        <v>2718.2592</v>
      </c>
    </row>
    <row r="129" spans="1:5">
      <c r="A129" s="2" t="s">
        <v>14</v>
      </c>
      <c r="B129" s="2" t="s">
        <v>11</v>
      </c>
      <c r="C129" s="3">
        <v>295.68</v>
      </c>
      <c r="D129" s="4">
        <v>-153.0865</v>
      </c>
      <c r="E129" s="4">
        <v>2031.3216</v>
      </c>
    </row>
    <row r="130" spans="1:5">
      <c r="A130" s="2" t="s">
        <v>14</v>
      </c>
      <c r="B130" s="2" t="s">
        <v>11</v>
      </c>
      <c r="C130" s="3">
        <v>399.36</v>
      </c>
      <c r="D130" s="4">
        <v>-193.3622</v>
      </c>
      <c r="E130" s="4">
        <v>2743.6032</v>
      </c>
    </row>
    <row r="131" spans="1:5">
      <c r="A131" s="2" t="s">
        <v>14</v>
      </c>
      <c r="B131" s="2" t="s">
        <v>11</v>
      </c>
      <c r="C131" s="3">
        <v>276.48</v>
      </c>
      <c r="D131" s="4">
        <v>-67.6039999999996</v>
      </c>
      <c r="E131" s="4">
        <v>1904.9472</v>
      </c>
    </row>
    <row r="132" spans="1:5">
      <c r="A132" s="2" t="s">
        <v>14</v>
      </c>
      <c r="B132" s="2" t="s">
        <v>11</v>
      </c>
      <c r="C132" s="3">
        <v>407.04</v>
      </c>
      <c r="D132" s="4">
        <v>-72.3873000000002</v>
      </c>
      <c r="E132" s="4">
        <v>2820.7872</v>
      </c>
    </row>
    <row r="133" spans="1:5">
      <c r="A133" s="2" t="s">
        <v>14</v>
      </c>
      <c r="B133" s="2" t="s">
        <v>11</v>
      </c>
      <c r="C133" s="3">
        <v>399.36</v>
      </c>
      <c r="D133" s="4">
        <v>-67.4170000000001</v>
      </c>
      <c r="E133" s="4">
        <v>2771.5584</v>
      </c>
    </row>
    <row r="134" spans="1:5">
      <c r="A134" s="2" t="s">
        <v>14</v>
      </c>
      <c r="B134" s="2" t="s">
        <v>11</v>
      </c>
      <c r="C134" s="3">
        <v>403.2</v>
      </c>
      <c r="D134" s="4">
        <v>-194.1797</v>
      </c>
      <c r="E134" s="4">
        <v>2769.984</v>
      </c>
    </row>
    <row r="135" spans="1:5">
      <c r="A135" s="2" t="s">
        <v>14</v>
      </c>
      <c r="B135" s="2" t="s">
        <v>11</v>
      </c>
      <c r="C135" s="3">
        <v>1025.28</v>
      </c>
      <c r="D135" s="4">
        <v>-382.385199999999</v>
      </c>
      <c r="E135" s="4">
        <v>7043.6736</v>
      </c>
    </row>
    <row r="136" spans="1:5">
      <c r="A136" s="2" t="s">
        <v>14</v>
      </c>
      <c r="B136" s="2" t="s">
        <v>11</v>
      </c>
      <c r="C136" s="3">
        <v>4780.4</v>
      </c>
      <c r="D136" s="4">
        <v>4127.6728</v>
      </c>
      <c r="E136" s="4">
        <v>33175.976</v>
      </c>
    </row>
    <row r="137" spans="1:5">
      <c r="A137" s="2" t="s">
        <v>14</v>
      </c>
      <c r="B137" s="2" t="s">
        <v>11</v>
      </c>
      <c r="C137" s="3">
        <v>3754.4</v>
      </c>
      <c r="D137" s="4">
        <v>996.1015999999991</v>
      </c>
      <c r="E137" s="4">
        <v>25792.728</v>
      </c>
    </row>
    <row r="138" spans="1:5">
      <c r="A138" s="2" t="s">
        <v>14</v>
      </c>
      <c r="B138" s="2" t="s">
        <v>11</v>
      </c>
      <c r="C138" s="3">
        <v>5122.4</v>
      </c>
      <c r="D138" s="4">
        <v>4444.7668</v>
      </c>
      <c r="E138" s="4">
        <v>35549.456</v>
      </c>
    </row>
    <row r="139" spans="1:5">
      <c r="A139" s="2" t="s">
        <v>14</v>
      </c>
      <c r="B139" s="2" t="s">
        <v>11</v>
      </c>
      <c r="C139" s="3">
        <v>3556.8</v>
      </c>
      <c r="D139" s="4">
        <v>2817.1871</v>
      </c>
      <c r="E139" s="4">
        <v>24506.352</v>
      </c>
    </row>
    <row r="140" spans="1:5">
      <c r="A140" s="2" t="s">
        <v>14</v>
      </c>
      <c r="B140" s="2" t="s">
        <v>11</v>
      </c>
      <c r="C140" s="3">
        <v>5152.8</v>
      </c>
      <c r="D140" s="4">
        <v>4423.5969</v>
      </c>
      <c r="E140" s="4">
        <v>35708.904</v>
      </c>
    </row>
    <row r="141" spans="1:5">
      <c r="A141" s="2" t="s">
        <v>14</v>
      </c>
      <c r="B141" s="2" t="s">
        <v>11</v>
      </c>
      <c r="C141" s="3">
        <v>5107.2</v>
      </c>
      <c r="D141" s="4">
        <v>1585.0178</v>
      </c>
      <c r="E141" s="4">
        <v>35086.464</v>
      </c>
    </row>
    <row r="142" spans="1:5">
      <c r="A142" s="2" t="s">
        <v>14</v>
      </c>
      <c r="B142" s="2" t="s">
        <v>11</v>
      </c>
      <c r="C142" s="3">
        <v>5145.2</v>
      </c>
      <c r="D142" s="4">
        <v>1617.933</v>
      </c>
      <c r="E142" s="4">
        <v>35347.524</v>
      </c>
    </row>
    <row r="143" spans="1:5">
      <c r="A143" s="2" t="s">
        <v>14</v>
      </c>
      <c r="B143" s="2" t="s">
        <v>11</v>
      </c>
      <c r="C143" s="3">
        <v>13406.4</v>
      </c>
      <c r="D143" s="4">
        <v>6598.74129999999</v>
      </c>
      <c r="E143" s="4">
        <v>92101.96799999999</v>
      </c>
    </row>
    <row r="144" spans="1:5">
      <c r="A144" s="2" t="s">
        <v>14</v>
      </c>
      <c r="B144" s="2" t="s">
        <v>11</v>
      </c>
      <c r="C144" s="3">
        <v>1705.6</v>
      </c>
      <c r="D144" s="4">
        <v>858.71</v>
      </c>
      <c r="E144" s="4">
        <v>11819.808</v>
      </c>
    </row>
    <row r="145" spans="1:5">
      <c r="A145" s="2" t="s">
        <v>14</v>
      </c>
      <c r="B145" s="2" t="s">
        <v>11</v>
      </c>
      <c r="C145" s="3">
        <v>2566.4</v>
      </c>
      <c r="D145" s="4">
        <v>1108.3182</v>
      </c>
      <c r="E145" s="4">
        <v>17810.816</v>
      </c>
    </row>
    <row r="146" spans="1:5">
      <c r="A146" s="2" t="s">
        <v>14</v>
      </c>
      <c r="B146" s="2" t="s">
        <v>11</v>
      </c>
      <c r="C146" s="3">
        <v>1996.8</v>
      </c>
      <c r="D146" s="4">
        <v>2332.944</v>
      </c>
      <c r="E146" s="4">
        <v>13817.856</v>
      </c>
    </row>
    <row r="147" spans="1:5">
      <c r="A147" s="2" t="s">
        <v>14</v>
      </c>
      <c r="B147" s="2" t="s">
        <v>11</v>
      </c>
      <c r="C147" s="3">
        <v>2403.2</v>
      </c>
      <c r="D147" s="4">
        <v>2868.5966</v>
      </c>
      <c r="E147" s="4">
        <v>16654.176</v>
      </c>
    </row>
    <row r="148" spans="1:5">
      <c r="A148" s="2" t="s">
        <v>14</v>
      </c>
      <c r="B148" s="2" t="s">
        <v>11</v>
      </c>
      <c r="C148" s="3">
        <v>2838.4</v>
      </c>
      <c r="D148" s="4">
        <v>1708.0844</v>
      </c>
      <c r="E148" s="4">
        <v>19698.496</v>
      </c>
    </row>
    <row r="149" spans="1:5">
      <c r="A149" s="2" t="s">
        <v>14</v>
      </c>
      <c r="B149" s="2" t="s">
        <v>11</v>
      </c>
      <c r="C149" s="3">
        <v>140.8</v>
      </c>
      <c r="D149" s="4">
        <v>-160.3493</v>
      </c>
      <c r="E149" s="4">
        <v>975.744</v>
      </c>
    </row>
    <row r="150" spans="1:5">
      <c r="A150" s="2" t="s">
        <v>14</v>
      </c>
      <c r="B150" s="2" t="s">
        <v>11</v>
      </c>
      <c r="C150" s="3">
        <v>1996.8</v>
      </c>
      <c r="D150" s="4">
        <v>884.7058</v>
      </c>
      <c r="E150" s="4">
        <v>13698.048</v>
      </c>
    </row>
    <row r="151" spans="1:5">
      <c r="A151" s="2" t="s">
        <v>14</v>
      </c>
      <c r="B151" s="2" t="s">
        <v>11</v>
      </c>
      <c r="C151" s="3">
        <v>1804.8</v>
      </c>
      <c r="D151" s="4">
        <v>-33239.9762</v>
      </c>
      <c r="E151" s="4">
        <v>12435.072</v>
      </c>
    </row>
    <row r="152" spans="1:5">
      <c r="A152" s="2" t="s">
        <v>14</v>
      </c>
      <c r="B152" s="2" t="s">
        <v>11</v>
      </c>
      <c r="C152" s="3">
        <v>1897.6</v>
      </c>
      <c r="D152" s="4">
        <v>544.136</v>
      </c>
      <c r="E152" s="4">
        <v>13093.44</v>
      </c>
    </row>
    <row r="153" spans="1:5">
      <c r="A153" s="2" t="s">
        <v>14</v>
      </c>
      <c r="B153" s="2" t="s">
        <v>11</v>
      </c>
      <c r="C153" s="3">
        <v>1465.6</v>
      </c>
      <c r="D153" s="4">
        <v>814.398300000001</v>
      </c>
      <c r="E153" s="4">
        <v>10097.984</v>
      </c>
    </row>
    <row r="154" spans="1:5">
      <c r="A154" s="2" t="s">
        <v>14</v>
      </c>
      <c r="B154" s="2" t="s">
        <v>11</v>
      </c>
      <c r="C154" s="3">
        <v>12194.24</v>
      </c>
      <c r="D154" s="4">
        <v>-204.372799999997</v>
      </c>
      <c r="E154" s="4">
        <v>84628.02560000001</v>
      </c>
    </row>
    <row r="155" spans="1:5">
      <c r="A155" s="2" t="s">
        <v>14</v>
      </c>
      <c r="B155" s="2" t="s">
        <v>11</v>
      </c>
      <c r="C155" s="3">
        <v>1680</v>
      </c>
      <c r="D155" s="4">
        <v>2233.717</v>
      </c>
      <c r="E155" s="4">
        <v>11642.4</v>
      </c>
    </row>
    <row r="156" spans="1:5">
      <c r="A156" s="2" t="s">
        <v>14</v>
      </c>
      <c r="B156" s="2" t="s">
        <v>11</v>
      </c>
      <c r="C156" s="3">
        <v>940.8</v>
      </c>
      <c r="D156" s="4">
        <v>1089.21</v>
      </c>
      <c r="E156" s="4">
        <v>6491.52</v>
      </c>
    </row>
    <row r="157" spans="1:5">
      <c r="A157" s="2" t="s">
        <v>14</v>
      </c>
      <c r="B157" s="2" t="s">
        <v>11</v>
      </c>
      <c r="C157" s="3">
        <v>2268</v>
      </c>
      <c r="D157" s="4">
        <v>3183.9468</v>
      </c>
      <c r="E157" s="4">
        <v>15558.48</v>
      </c>
    </row>
    <row r="158" spans="1:5">
      <c r="A158" s="2" t="s">
        <v>14</v>
      </c>
      <c r="B158" s="2" t="s">
        <v>11</v>
      </c>
      <c r="C158" s="3">
        <v>2167.2</v>
      </c>
      <c r="D158" s="4">
        <v>3006.318</v>
      </c>
      <c r="E158" s="4">
        <v>14953.68</v>
      </c>
    </row>
    <row r="159" spans="1:5">
      <c r="A159" s="2" t="s">
        <v>14</v>
      </c>
      <c r="B159" s="2" t="s">
        <v>11</v>
      </c>
      <c r="C159" s="3">
        <v>1831.2</v>
      </c>
      <c r="D159" s="4">
        <v>2645.5548</v>
      </c>
      <c r="E159" s="4">
        <v>12616.968</v>
      </c>
    </row>
    <row r="160" spans="1:5">
      <c r="A160" s="2" t="s">
        <v>14</v>
      </c>
      <c r="B160" s="2" t="s">
        <v>11</v>
      </c>
      <c r="C160" s="3">
        <v>546</v>
      </c>
      <c r="D160" s="4">
        <v>150.38</v>
      </c>
      <c r="E160" s="4">
        <v>3783.78</v>
      </c>
    </row>
    <row r="161" spans="1:5">
      <c r="A161" s="2" t="s">
        <v>14</v>
      </c>
      <c r="B161" s="2" t="s">
        <v>11</v>
      </c>
      <c r="C161" s="3">
        <v>447.72</v>
      </c>
      <c r="D161" s="4">
        <v>211.7474</v>
      </c>
      <c r="E161" s="4">
        <v>3107.1768</v>
      </c>
    </row>
    <row r="162" spans="1:5">
      <c r="A162" s="2" t="s">
        <v>14</v>
      </c>
      <c r="B162" s="2" t="s">
        <v>11</v>
      </c>
      <c r="C162" s="3">
        <v>442.26</v>
      </c>
      <c r="D162" s="4">
        <v>-420.781000000001</v>
      </c>
      <c r="E162" s="4">
        <v>3051.594</v>
      </c>
    </row>
    <row r="163" spans="1:5">
      <c r="A163" s="2" t="s">
        <v>14</v>
      </c>
      <c r="B163" s="2" t="s">
        <v>11</v>
      </c>
      <c r="C163" s="3">
        <v>398.58</v>
      </c>
      <c r="D163" s="4">
        <v>184.189999999999</v>
      </c>
      <c r="E163" s="4">
        <v>2758.1736</v>
      </c>
    </row>
    <row r="164" spans="1:5">
      <c r="A164" s="2" t="s">
        <v>14</v>
      </c>
      <c r="B164" s="2" t="s">
        <v>11</v>
      </c>
      <c r="C164" s="3">
        <v>262.08</v>
      </c>
      <c r="D164" s="4">
        <v>-73.0920000000002</v>
      </c>
      <c r="E164" s="4">
        <v>1818.8352</v>
      </c>
    </row>
    <row r="165" spans="1:5">
      <c r="A165" s="2" t="s">
        <v>14</v>
      </c>
      <c r="B165" s="2" t="s">
        <v>11</v>
      </c>
      <c r="C165" s="3">
        <v>245.7</v>
      </c>
      <c r="D165" s="4">
        <v>-89.95219999999991</v>
      </c>
      <c r="E165" s="4">
        <v>1705.158</v>
      </c>
    </row>
    <row r="166" spans="1:5">
      <c r="A166" s="2" t="s">
        <v>14</v>
      </c>
      <c r="B166" s="2" t="s">
        <v>11</v>
      </c>
      <c r="C166" s="3">
        <v>360.36</v>
      </c>
      <c r="D166" s="4">
        <v>96.4414000000002</v>
      </c>
      <c r="E166" s="4">
        <v>2472.0696</v>
      </c>
    </row>
    <row r="167" spans="1:5">
      <c r="A167" s="2" t="s">
        <v>14</v>
      </c>
      <c r="B167" s="2" t="s">
        <v>11</v>
      </c>
      <c r="C167" s="3">
        <v>311.22</v>
      </c>
      <c r="D167" s="4">
        <v>-1104.5617</v>
      </c>
      <c r="E167" s="4">
        <v>2144.3058</v>
      </c>
    </row>
    <row r="168" spans="1:5">
      <c r="A168" s="2" t="s">
        <v>14</v>
      </c>
      <c r="B168" s="2" t="s">
        <v>11</v>
      </c>
      <c r="C168" s="3">
        <v>333.06</v>
      </c>
      <c r="D168" s="4">
        <v>86.4399999999998</v>
      </c>
      <c r="E168" s="4">
        <v>2298.114</v>
      </c>
    </row>
    <row r="169" spans="1:5">
      <c r="A169" s="2" t="s">
        <v>14</v>
      </c>
      <c r="B169" s="2" t="s">
        <v>11</v>
      </c>
      <c r="C169" s="3">
        <v>294.84</v>
      </c>
      <c r="D169" s="4">
        <v>113.8895</v>
      </c>
      <c r="E169" s="4">
        <v>2031.4476</v>
      </c>
    </row>
    <row r="170" spans="1:5">
      <c r="A170" s="2" t="s">
        <v>14</v>
      </c>
      <c r="B170" s="2" t="s">
        <v>11</v>
      </c>
      <c r="C170" s="3">
        <v>16604.93</v>
      </c>
      <c r="D170" s="4">
        <v>8831.57800000001</v>
      </c>
      <c r="E170" s="4">
        <v>115238.2142</v>
      </c>
    </row>
    <row r="171" spans="1:5">
      <c r="A171" s="2" t="s">
        <v>14</v>
      </c>
      <c r="B171" s="2" t="s">
        <v>11</v>
      </c>
      <c r="C171" s="3">
        <v>2040</v>
      </c>
      <c r="D171" s="4">
        <v>3395.3696</v>
      </c>
      <c r="E171" s="4">
        <v>14137.2</v>
      </c>
    </row>
    <row r="172" spans="1:5">
      <c r="A172" s="2" t="s">
        <v>14</v>
      </c>
      <c r="B172" s="2" t="s">
        <v>11</v>
      </c>
      <c r="C172" s="3">
        <v>285.6</v>
      </c>
      <c r="D172" s="4">
        <v>501.3694</v>
      </c>
      <c r="E172" s="4">
        <v>1979.208</v>
      </c>
    </row>
    <row r="173" spans="1:5">
      <c r="A173" s="2" t="s">
        <v>14</v>
      </c>
      <c r="B173" s="2" t="s">
        <v>11</v>
      </c>
      <c r="C173" s="3">
        <v>836.4</v>
      </c>
      <c r="D173" s="4">
        <v>1341.5328</v>
      </c>
      <c r="E173" s="4">
        <v>5737.704</v>
      </c>
    </row>
    <row r="174" spans="1:5">
      <c r="A174" s="2" t="s">
        <v>14</v>
      </c>
      <c r="B174" s="2" t="s">
        <v>11</v>
      </c>
      <c r="C174" s="3">
        <v>754.8</v>
      </c>
      <c r="D174" s="4">
        <v>1198.518</v>
      </c>
      <c r="E174" s="4">
        <v>5208.12</v>
      </c>
    </row>
    <row r="175" spans="1:5">
      <c r="A175" s="2" t="s">
        <v>14</v>
      </c>
      <c r="B175" s="2" t="s">
        <v>11</v>
      </c>
      <c r="C175" s="3">
        <v>530.4</v>
      </c>
      <c r="D175" s="4">
        <v>872.401</v>
      </c>
      <c r="E175" s="4">
        <v>3654.456</v>
      </c>
    </row>
    <row r="176" spans="1:5">
      <c r="A176" s="2" t="s">
        <v>14</v>
      </c>
      <c r="B176" s="2" t="s">
        <v>11</v>
      </c>
      <c r="C176" s="3">
        <v>2550</v>
      </c>
      <c r="D176" s="4">
        <v>2412.307</v>
      </c>
      <c r="E176" s="4">
        <v>17671.5</v>
      </c>
    </row>
    <row r="177" spans="1:5">
      <c r="A177" s="2" t="s">
        <v>14</v>
      </c>
      <c r="B177" s="2" t="s">
        <v>11</v>
      </c>
      <c r="C177" s="3">
        <v>1020</v>
      </c>
      <c r="D177" s="4">
        <v>698.405000000001</v>
      </c>
      <c r="E177" s="4">
        <v>7038</v>
      </c>
    </row>
    <row r="178" spans="1:5">
      <c r="A178" s="2" t="s">
        <v>14</v>
      </c>
      <c r="B178" s="2" t="s">
        <v>11</v>
      </c>
      <c r="C178" s="3">
        <v>2601</v>
      </c>
      <c r="D178" s="4">
        <v>2291.6528</v>
      </c>
      <c r="E178" s="4">
        <v>17842.86</v>
      </c>
    </row>
    <row r="179" spans="1:5">
      <c r="A179" s="2" t="s">
        <v>14</v>
      </c>
      <c r="B179" s="2" t="s">
        <v>11</v>
      </c>
      <c r="C179" s="3">
        <v>2320.5</v>
      </c>
      <c r="D179" s="4">
        <v>2037.678</v>
      </c>
      <c r="E179" s="4">
        <v>16011.45</v>
      </c>
    </row>
    <row r="180" spans="1:5">
      <c r="A180" s="2" t="s">
        <v>14</v>
      </c>
      <c r="B180" s="2" t="s">
        <v>11</v>
      </c>
      <c r="C180" s="3">
        <v>2218.5</v>
      </c>
      <c r="D180" s="4">
        <v>2041.6579</v>
      </c>
      <c r="E180" s="4">
        <v>15285.465</v>
      </c>
    </row>
    <row r="181" spans="1:5">
      <c r="A181" s="2" t="s">
        <v>14</v>
      </c>
      <c r="B181" s="2" t="s">
        <v>11</v>
      </c>
      <c r="C181" s="3">
        <v>1792.8</v>
      </c>
      <c r="D181" s="4">
        <v>-776.9325</v>
      </c>
      <c r="E181" s="4">
        <v>12316.536</v>
      </c>
    </row>
    <row r="182" spans="1:5">
      <c r="A182" s="2" t="s">
        <v>14</v>
      </c>
      <c r="B182" s="2" t="s">
        <v>11</v>
      </c>
      <c r="C182" s="3">
        <v>1108.8</v>
      </c>
      <c r="D182" s="4">
        <v>154.794200000001</v>
      </c>
      <c r="E182" s="4">
        <v>7695.072</v>
      </c>
    </row>
    <row r="183" spans="1:5">
      <c r="A183" s="2" t="s">
        <v>14</v>
      </c>
      <c r="B183" s="2" t="s">
        <v>11</v>
      </c>
      <c r="C183" s="3">
        <v>763.84</v>
      </c>
      <c r="D183" s="4">
        <v>-2006.316</v>
      </c>
      <c r="E183" s="4">
        <v>5301.0496</v>
      </c>
    </row>
    <row r="184" spans="1:5">
      <c r="A184" s="2" t="s">
        <v>14</v>
      </c>
      <c r="B184" s="2" t="s">
        <v>11</v>
      </c>
      <c r="C184" s="3">
        <v>14313.6</v>
      </c>
      <c r="D184" s="4">
        <v>7081.05479999999</v>
      </c>
      <c r="E184" s="4">
        <v>99622.656</v>
      </c>
    </row>
    <row r="185" spans="1:5">
      <c r="A185" s="2" t="s">
        <v>14</v>
      </c>
      <c r="B185" s="2" t="s">
        <v>11</v>
      </c>
      <c r="C185" s="3">
        <v>6465.6</v>
      </c>
      <c r="D185" s="4">
        <v>234.688800000001</v>
      </c>
      <c r="E185" s="4">
        <v>45000.576</v>
      </c>
    </row>
    <row r="186" spans="1:5">
      <c r="A186" s="2" t="s">
        <v>14</v>
      </c>
      <c r="B186" s="2" t="s">
        <v>11</v>
      </c>
      <c r="C186" s="3">
        <v>7286.4</v>
      </c>
      <c r="D186" s="4">
        <v>950.743199999998</v>
      </c>
      <c r="E186" s="4">
        <v>50713.344</v>
      </c>
    </row>
    <row r="187" spans="1:5">
      <c r="A187" s="2" t="s">
        <v>14</v>
      </c>
      <c r="B187" s="2" t="s">
        <v>11</v>
      </c>
      <c r="C187" s="3">
        <v>11073.6</v>
      </c>
      <c r="D187" s="4">
        <v>4254.5656</v>
      </c>
      <c r="E187" s="4">
        <v>77072.25600000001</v>
      </c>
    </row>
    <row r="188" spans="1:5">
      <c r="A188" s="2" t="s">
        <v>14</v>
      </c>
      <c r="B188" s="2" t="s">
        <v>11</v>
      </c>
      <c r="C188" s="3">
        <v>8870.4</v>
      </c>
      <c r="D188" s="4">
        <v>2332.574</v>
      </c>
      <c r="E188" s="4">
        <v>61737.984</v>
      </c>
    </row>
    <row r="189" spans="1:5">
      <c r="A189" s="2" t="s">
        <v>14</v>
      </c>
      <c r="B189" s="2" t="s">
        <v>12</v>
      </c>
      <c r="C189" s="3">
        <v>846</v>
      </c>
      <c r="D189" s="4">
        <v>-49.8985999999995</v>
      </c>
      <c r="E189" s="4">
        <v>5812.02</v>
      </c>
    </row>
    <row r="190" spans="1:5">
      <c r="A190" s="2" t="s">
        <v>14</v>
      </c>
      <c r="B190" s="2" t="s">
        <v>12</v>
      </c>
      <c r="C190" s="3">
        <v>3382.5</v>
      </c>
      <c r="D190" s="4">
        <v>4681.2296</v>
      </c>
      <c r="E190" s="4">
        <v>23271.6</v>
      </c>
    </row>
    <row r="191" spans="1:5">
      <c r="A191" s="2" t="s">
        <v>14</v>
      </c>
      <c r="B191" s="2" t="s">
        <v>12</v>
      </c>
      <c r="C191" s="3">
        <v>0</v>
      </c>
      <c r="D191" s="4">
        <v>-277.13</v>
      </c>
      <c r="E191" s="4">
        <v>0</v>
      </c>
    </row>
    <row r="192" spans="1:5">
      <c r="A192" s="2" t="s">
        <v>14</v>
      </c>
      <c r="B192" s="2" t="s">
        <v>12</v>
      </c>
      <c r="C192" s="3">
        <v>1800</v>
      </c>
      <c r="D192" s="4">
        <v>4602.4834</v>
      </c>
      <c r="E192" s="4">
        <v>12366</v>
      </c>
    </row>
    <row r="193" spans="1:5">
      <c r="A193" s="2" t="s">
        <v>14</v>
      </c>
      <c r="B193" s="2" t="s">
        <v>12</v>
      </c>
      <c r="C193" s="3">
        <v>927</v>
      </c>
      <c r="D193" s="4">
        <v>-1392.4981</v>
      </c>
      <c r="E193" s="4">
        <v>6368.49</v>
      </c>
    </row>
    <row r="194" spans="1:5">
      <c r="A194" s="2" t="s">
        <v>14</v>
      </c>
      <c r="B194" s="2" t="s">
        <v>12</v>
      </c>
      <c r="C194" s="3">
        <v>1323</v>
      </c>
      <c r="D194" s="4">
        <v>-405.1281</v>
      </c>
      <c r="E194" s="4">
        <v>9115.469999999999</v>
      </c>
    </row>
    <row r="195" spans="1:5">
      <c r="A195" s="2" t="s">
        <v>14</v>
      </c>
      <c r="B195" s="2" t="s">
        <v>12</v>
      </c>
      <c r="C195" s="3">
        <v>892.5</v>
      </c>
      <c r="D195" s="4">
        <v>817.3872</v>
      </c>
      <c r="E195" s="4">
        <v>6149.325</v>
      </c>
    </row>
    <row r="196" spans="1:5">
      <c r="A196" s="2" t="s">
        <v>14</v>
      </c>
      <c r="B196" s="2" t="s">
        <v>12</v>
      </c>
      <c r="C196" s="3">
        <v>1341</v>
      </c>
      <c r="D196" s="4">
        <v>-561.1772</v>
      </c>
      <c r="E196" s="4">
        <v>9239.49</v>
      </c>
    </row>
    <row r="197" spans="1:5">
      <c r="A197" s="2" t="s">
        <v>14</v>
      </c>
      <c r="B197" s="2" t="s">
        <v>12</v>
      </c>
      <c r="C197" s="3">
        <v>921.6</v>
      </c>
      <c r="D197" s="4">
        <v>605.989099999999</v>
      </c>
      <c r="E197" s="4">
        <v>6349.824</v>
      </c>
    </row>
    <row r="198" spans="1:5">
      <c r="A198" s="2" t="s">
        <v>14</v>
      </c>
      <c r="B198" s="2" t="s">
        <v>12</v>
      </c>
      <c r="C198" s="3">
        <v>780</v>
      </c>
      <c r="D198" s="4">
        <v>550.335</v>
      </c>
      <c r="E198" s="4">
        <v>5374.2</v>
      </c>
    </row>
    <row r="199" spans="1:5">
      <c r="A199" s="2" t="s">
        <v>14</v>
      </c>
      <c r="B199" s="2" t="s">
        <v>12</v>
      </c>
      <c r="C199" s="3">
        <v>5140.8</v>
      </c>
      <c r="D199" s="4">
        <v>3420.8051</v>
      </c>
      <c r="E199" s="4">
        <v>35420.112</v>
      </c>
    </row>
    <row r="200" spans="1:5">
      <c r="A200" s="2" t="s">
        <v>14</v>
      </c>
      <c r="B200" s="2" t="s">
        <v>12</v>
      </c>
      <c r="C200" s="3">
        <v>882</v>
      </c>
      <c r="D200" s="4">
        <v>-927.3875</v>
      </c>
      <c r="E200" s="4">
        <v>6059.34</v>
      </c>
    </row>
    <row r="201" spans="1:5">
      <c r="A201" s="2" t="s">
        <v>14</v>
      </c>
      <c r="B201" s="2" t="s">
        <v>12</v>
      </c>
      <c r="C201" s="3">
        <v>882</v>
      </c>
      <c r="D201" s="4">
        <v>-2003.268</v>
      </c>
      <c r="E201" s="4">
        <v>6085.8</v>
      </c>
    </row>
    <row r="202" spans="1:5">
      <c r="A202" s="2" t="s">
        <v>14</v>
      </c>
      <c r="B202" s="2" t="s">
        <v>12</v>
      </c>
      <c r="C202" s="3">
        <v>5228.45</v>
      </c>
      <c r="D202" s="4">
        <v>3393.3192</v>
      </c>
      <c r="E202" s="4">
        <v>35971.736</v>
      </c>
    </row>
    <row r="203" spans="1:5">
      <c r="A203" s="2" t="s">
        <v>14</v>
      </c>
      <c r="B203" s="2" t="s">
        <v>12</v>
      </c>
      <c r="C203" s="3">
        <v>0</v>
      </c>
      <c r="D203" s="4">
        <v>-363.56</v>
      </c>
      <c r="E203" s="4">
        <v>0</v>
      </c>
    </row>
    <row r="204" spans="1:5">
      <c r="A204" s="2" t="s">
        <v>14</v>
      </c>
      <c r="B204" s="2" t="s">
        <v>12</v>
      </c>
      <c r="C204" s="3">
        <v>885.92</v>
      </c>
      <c r="D204" s="4">
        <v>-788.7667</v>
      </c>
      <c r="E204" s="4">
        <v>6086.270399999999</v>
      </c>
    </row>
    <row r="205" spans="1:5">
      <c r="A205" s="2" t="s">
        <v>14</v>
      </c>
      <c r="B205" s="2" t="s">
        <v>12</v>
      </c>
      <c r="C205" s="3">
        <v>885.92</v>
      </c>
      <c r="D205" s="4">
        <v>-1728.886</v>
      </c>
      <c r="E205" s="4">
        <v>6112.848</v>
      </c>
    </row>
    <row r="206" spans="1:5">
      <c r="A206" s="2" t="s">
        <v>14</v>
      </c>
      <c r="B206" s="2" t="s">
        <v>12</v>
      </c>
      <c r="C206" s="3">
        <v>804.96</v>
      </c>
      <c r="D206" s="4">
        <v>1833.8131</v>
      </c>
      <c r="E206" s="4">
        <v>5530.0752</v>
      </c>
    </row>
    <row r="207" spans="1:5">
      <c r="A207" s="2" t="s">
        <v>14</v>
      </c>
      <c r="B207" s="2" t="s">
        <v>12</v>
      </c>
      <c r="C207" s="3">
        <v>11107.74</v>
      </c>
      <c r="D207" s="4">
        <v>9334.571499999989</v>
      </c>
      <c r="E207" s="4">
        <v>76088.019</v>
      </c>
    </row>
    <row r="208" spans="1:5">
      <c r="A208" s="2" t="s">
        <v>14</v>
      </c>
      <c r="B208" s="2" t="s">
        <v>12</v>
      </c>
      <c r="C208" s="3">
        <v>0</v>
      </c>
      <c r="D208" s="4">
        <v>-660.1</v>
      </c>
      <c r="E208" s="4">
        <v>0</v>
      </c>
    </row>
    <row r="209" spans="1:5">
      <c r="A209" s="2" t="s">
        <v>14</v>
      </c>
      <c r="B209" s="2" t="s">
        <v>12</v>
      </c>
      <c r="C209" s="3">
        <v>1824</v>
      </c>
      <c r="D209" s="4">
        <v>-345.309899999999</v>
      </c>
      <c r="E209" s="4">
        <v>12530.88</v>
      </c>
    </row>
    <row r="210" spans="1:5">
      <c r="A210" s="2" t="s">
        <v>14</v>
      </c>
      <c r="B210" s="2" t="s">
        <v>12</v>
      </c>
      <c r="C210" s="3">
        <v>3750</v>
      </c>
      <c r="D210" s="4">
        <v>1357.7639</v>
      </c>
      <c r="E210" s="4">
        <v>25837.5</v>
      </c>
    </row>
    <row r="211" spans="1:5">
      <c r="A211" s="2" t="s">
        <v>14</v>
      </c>
      <c r="B211" s="2" t="s">
        <v>12</v>
      </c>
      <c r="C211" s="3">
        <v>6750</v>
      </c>
      <c r="D211" s="4">
        <v>2443.9079</v>
      </c>
      <c r="E211" s="4">
        <v>46507.5</v>
      </c>
    </row>
    <row r="212" spans="1:5">
      <c r="A212" s="2" t="s">
        <v>14</v>
      </c>
      <c r="B212" s="2" t="s">
        <v>13</v>
      </c>
      <c r="C212" s="3">
        <v>17928</v>
      </c>
      <c r="D212" s="4">
        <v>-764.759399999997</v>
      </c>
      <c r="E212" s="4">
        <v>123165.36</v>
      </c>
    </row>
    <row r="213" spans="1:5">
      <c r="A213" s="2" t="s">
        <v>14</v>
      </c>
      <c r="B213" s="2" t="s">
        <v>13</v>
      </c>
      <c r="C213" s="3">
        <v>945</v>
      </c>
      <c r="D213" s="4">
        <v>1085.8201</v>
      </c>
      <c r="E213" s="4">
        <v>6492.150000000001</v>
      </c>
    </row>
    <row r="214" spans="1:5">
      <c r="A214" s="2" t="s">
        <v>14</v>
      </c>
      <c r="B214" s="2" t="s">
        <v>13</v>
      </c>
      <c r="C214" s="3">
        <v>5250</v>
      </c>
      <c r="D214" s="4">
        <v>2601.3489</v>
      </c>
      <c r="E214" s="4">
        <v>36172.5</v>
      </c>
    </row>
    <row r="215" spans="1:5">
      <c r="A215" s="2" t="s">
        <v>14</v>
      </c>
      <c r="B215" s="2" t="s">
        <v>13</v>
      </c>
      <c r="C215" s="3">
        <v>4180</v>
      </c>
      <c r="D215" s="4">
        <v>3887.0183</v>
      </c>
      <c r="E215" s="4">
        <v>28716.6</v>
      </c>
    </row>
    <row r="216" spans="1:5">
      <c r="A216" s="2" t="s">
        <v>14</v>
      </c>
      <c r="B216" s="2" t="s">
        <v>13</v>
      </c>
      <c r="C216" s="3">
        <v>1479</v>
      </c>
      <c r="D216" s="4">
        <v>272.961500000001</v>
      </c>
      <c r="E216" s="4">
        <v>10160.73</v>
      </c>
    </row>
    <row r="217" spans="1:5">
      <c r="A217" s="2" t="s">
        <v>14</v>
      </c>
      <c r="B217" s="2" t="s">
        <v>13</v>
      </c>
      <c r="C217" s="3">
        <v>950</v>
      </c>
      <c r="D217" s="4">
        <v>371.3042</v>
      </c>
      <c r="E217" s="4">
        <v>6545.5</v>
      </c>
    </row>
    <row r="218" spans="1:5">
      <c r="A218" s="2" t="s">
        <v>14</v>
      </c>
      <c r="B218" s="2" t="s">
        <v>13</v>
      </c>
      <c r="C218" s="3">
        <v>4200</v>
      </c>
      <c r="D218" s="4">
        <v>1486.2849</v>
      </c>
      <c r="E218" s="4">
        <v>28938</v>
      </c>
    </row>
    <row r="219" spans="1:5">
      <c r="A219" s="2" t="s">
        <v>14</v>
      </c>
      <c r="B219" s="2" t="s">
        <v>13</v>
      </c>
      <c r="C219" s="3">
        <v>24694.52</v>
      </c>
      <c r="D219" s="4">
        <v>-233.647900000012</v>
      </c>
      <c r="E219" s="4">
        <v>169651.3524</v>
      </c>
    </row>
    <row r="220" spans="1:5">
      <c r="A220" s="2" t="s">
        <v>14</v>
      </c>
      <c r="B220" s="2" t="s">
        <v>13</v>
      </c>
      <c r="C220" s="3">
        <v>2660</v>
      </c>
      <c r="D220" s="4">
        <v>-1208.7394</v>
      </c>
      <c r="E220" s="4">
        <v>18274.2</v>
      </c>
    </row>
    <row r="221" spans="1:5">
      <c r="A221" s="2" t="s">
        <v>14</v>
      </c>
      <c r="B221" s="2" t="s">
        <v>13</v>
      </c>
      <c r="C221" s="3">
        <v>16656</v>
      </c>
      <c r="D221" s="4">
        <v>-1419.36679999999</v>
      </c>
      <c r="E221" s="4">
        <v>114426.72</v>
      </c>
    </row>
    <row r="222" spans="1:5">
      <c r="A222" s="2" t="s">
        <v>14</v>
      </c>
      <c r="B222" s="2" t="s">
        <v>13</v>
      </c>
      <c r="C222" s="3">
        <v>836.4</v>
      </c>
      <c r="D222" s="4">
        <v>197.596</v>
      </c>
      <c r="E222" s="4">
        <v>5771.16</v>
      </c>
    </row>
    <row r="223" spans="1:5">
      <c r="A223" s="2" t="s">
        <v>14</v>
      </c>
      <c r="B223" s="2" t="s">
        <v>13</v>
      </c>
      <c r="C223" s="3">
        <v>1033.2</v>
      </c>
      <c r="D223" s="4">
        <v>345.283000000001</v>
      </c>
      <c r="E223" s="4">
        <v>7129.080000000001</v>
      </c>
    </row>
    <row r="224" spans="1:5">
      <c r="A224" s="2" t="s">
        <v>14</v>
      </c>
      <c r="B224" s="2" t="s">
        <v>13</v>
      </c>
      <c r="C224" s="3">
        <v>1033.2</v>
      </c>
      <c r="D224" s="4">
        <v>345.283000000001</v>
      </c>
      <c r="E224" s="4">
        <v>7129.080000000001</v>
      </c>
    </row>
    <row r="225" spans="1:5">
      <c r="A225" s="2" t="s">
        <v>14</v>
      </c>
      <c r="B225" s="2" t="s">
        <v>13</v>
      </c>
      <c r="C225" s="3">
        <v>944</v>
      </c>
      <c r="D225" s="4">
        <v>-1230.1268</v>
      </c>
      <c r="E225" s="4">
        <v>6494.72</v>
      </c>
    </row>
    <row r="226" spans="1:5">
      <c r="A226" s="2" t="s">
        <v>14</v>
      </c>
      <c r="B226" s="2" t="s">
        <v>13</v>
      </c>
      <c r="C226" s="3">
        <v>1152</v>
      </c>
      <c r="D226" s="4">
        <v>90.1572000000003</v>
      </c>
      <c r="E226" s="4">
        <v>7925.76</v>
      </c>
    </row>
    <row r="227" spans="1:5">
      <c r="A227" s="2" t="s">
        <v>14</v>
      </c>
      <c r="B227" s="2" t="s">
        <v>9</v>
      </c>
      <c r="C227" s="3">
        <v>13231.2</v>
      </c>
      <c r="D227" s="4">
        <v>-4760.1738</v>
      </c>
      <c r="E227" s="4">
        <v>91162.96800000001</v>
      </c>
    </row>
    <row r="228" spans="1:5">
      <c r="A228" s="2" t="s">
        <v>15</v>
      </c>
      <c r="B228" s="2" t="s">
        <v>7</v>
      </c>
      <c r="C228" s="3">
        <v>1216</v>
      </c>
      <c r="D228" s="4">
        <v>3617.001</v>
      </c>
      <c r="E228" s="4">
        <v>8390.4</v>
      </c>
    </row>
    <row r="229" spans="1:5">
      <c r="A229" s="2" t="s">
        <v>15</v>
      </c>
      <c r="B229" s="2" t="s">
        <v>7</v>
      </c>
      <c r="C229" s="3">
        <v>1260</v>
      </c>
      <c r="D229" s="4">
        <v>-84.0142000000003</v>
      </c>
      <c r="E229" s="4">
        <v>8580.6</v>
      </c>
    </row>
    <row r="230" spans="1:5">
      <c r="A230" s="2" t="s">
        <v>15</v>
      </c>
      <c r="B230" s="2" t="s">
        <v>7</v>
      </c>
      <c r="C230" s="3">
        <v>0</v>
      </c>
      <c r="D230" s="4">
        <v>-3120.71</v>
      </c>
      <c r="E230" s="4">
        <v>0</v>
      </c>
    </row>
    <row r="231" spans="1:5">
      <c r="A231" s="2" t="s">
        <v>15</v>
      </c>
      <c r="B231" s="2" t="s">
        <v>7</v>
      </c>
      <c r="C231" s="3">
        <v>947.52</v>
      </c>
      <c r="D231" s="4">
        <v>-166.6556</v>
      </c>
      <c r="E231" s="4">
        <v>6594.7392</v>
      </c>
    </row>
    <row r="232" spans="1:5">
      <c r="A232" s="2" t="s">
        <v>15</v>
      </c>
      <c r="B232" s="2" t="s">
        <v>7</v>
      </c>
      <c r="C232" s="3">
        <v>900</v>
      </c>
      <c r="D232" s="4">
        <v>1304.039</v>
      </c>
      <c r="E232" s="4">
        <v>6183</v>
      </c>
    </row>
    <row r="233" spans="1:5">
      <c r="A233" s="2" t="s">
        <v>15</v>
      </c>
      <c r="B233" s="2" t="s">
        <v>7</v>
      </c>
      <c r="C233" s="3">
        <v>923.4</v>
      </c>
      <c r="D233" s="4">
        <v>-92.8822000000004</v>
      </c>
      <c r="E233" s="4">
        <v>6343.758</v>
      </c>
    </row>
    <row r="234" spans="1:5">
      <c r="A234" s="2" t="s">
        <v>15</v>
      </c>
      <c r="B234" s="2" t="s">
        <v>7</v>
      </c>
      <c r="C234" s="3">
        <v>900</v>
      </c>
      <c r="D234" s="4">
        <v>1127.049</v>
      </c>
      <c r="E234" s="4">
        <v>6183</v>
      </c>
    </row>
    <row r="235" spans="1:5">
      <c r="A235" s="2" t="s">
        <v>15</v>
      </c>
      <c r="B235" s="2" t="s">
        <v>13</v>
      </c>
      <c r="C235" s="3">
        <v>4897.48</v>
      </c>
      <c r="D235" s="4">
        <v>-900.486000000001</v>
      </c>
      <c r="E235" s="4">
        <v>33645.6876</v>
      </c>
    </row>
    <row r="236" spans="1:5">
      <c r="A236" s="2" t="s">
        <v>15</v>
      </c>
      <c r="B236" s="2" t="s">
        <v>7</v>
      </c>
      <c r="C236" s="3">
        <v>5961.41</v>
      </c>
      <c r="D236" s="4">
        <v>2621.41540000001</v>
      </c>
      <c r="E236" s="4">
        <v>40656.8162</v>
      </c>
    </row>
    <row r="237" spans="1:5">
      <c r="A237" s="2" t="s">
        <v>15</v>
      </c>
      <c r="B237" s="2" t="s">
        <v>7</v>
      </c>
      <c r="C237" s="3">
        <v>1083.6</v>
      </c>
      <c r="D237" s="4">
        <v>2316.9418</v>
      </c>
      <c r="E237" s="4">
        <v>7390.152</v>
      </c>
    </row>
    <row r="238" spans="1:5">
      <c r="A238" s="2" t="s">
        <v>15</v>
      </c>
      <c r="B238" s="2" t="s">
        <v>7</v>
      </c>
      <c r="C238" s="3">
        <v>3140.64</v>
      </c>
      <c r="D238" s="4">
        <v>-503.915999999999</v>
      </c>
      <c r="E238" s="4">
        <v>21419.1648</v>
      </c>
    </row>
    <row r="239" spans="1:5">
      <c r="A239" s="2" t="s">
        <v>15</v>
      </c>
      <c r="B239" s="2" t="s">
        <v>7</v>
      </c>
      <c r="C239" s="3">
        <v>1352.16</v>
      </c>
      <c r="D239" s="4">
        <v>-1093.6311</v>
      </c>
      <c r="E239" s="4">
        <v>9208.2096</v>
      </c>
    </row>
    <row r="240" spans="1:5">
      <c r="A240" s="2" t="s">
        <v>15</v>
      </c>
      <c r="B240" s="2" t="s">
        <v>7</v>
      </c>
      <c r="C240" s="3">
        <v>5032.8</v>
      </c>
      <c r="D240" s="4">
        <v>-410.117799999997</v>
      </c>
      <c r="E240" s="4">
        <v>34323.696</v>
      </c>
    </row>
    <row r="241" spans="1:5">
      <c r="A241" s="2" t="s">
        <v>15</v>
      </c>
      <c r="B241" s="2" t="s">
        <v>7</v>
      </c>
      <c r="C241" s="3">
        <v>1067.04</v>
      </c>
      <c r="D241" s="4">
        <v>-86.9370000000004</v>
      </c>
      <c r="E241" s="4">
        <v>7277.2128</v>
      </c>
    </row>
    <row r="242" spans="1:5">
      <c r="A242" s="2" t="s">
        <v>15</v>
      </c>
      <c r="B242" s="2" t="s">
        <v>7</v>
      </c>
      <c r="C242" s="3">
        <v>10872</v>
      </c>
      <c r="D242" s="4">
        <v>-507.652</v>
      </c>
      <c r="E242" s="4">
        <v>74147.04000000001</v>
      </c>
    </row>
    <row r="243" spans="1:5">
      <c r="A243" s="2" t="s">
        <v>15</v>
      </c>
      <c r="B243" s="2" t="s">
        <v>7</v>
      </c>
      <c r="C243" s="3">
        <v>1726.38</v>
      </c>
      <c r="D243" s="4">
        <v>2691.6958</v>
      </c>
      <c r="E243" s="4">
        <v>11773.9116</v>
      </c>
    </row>
    <row r="244" spans="1:5">
      <c r="A244" s="2" t="s">
        <v>15</v>
      </c>
      <c r="B244" s="2" t="s">
        <v>7</v>
      </c>
      <c r="C244" s="3">
        <v>5388</v>
      </c>
      <c r="D244" s="4">
        <v>8530.811400000001</v>
      </c>
      <c r="E244" s="4">
        <v>36746.16</v>
      </c>
    </row>
    <row r="245" spans="1:5">
      <c r="A245" s="2" t="s">
        <v>15</v>
      </c>
      <c r="B245" s="2" t="s">
        <v>7</v>
      </c>
      <c r="C245" s="3">
        <v>2242.8</v>
      </c>
      <c r="D245" s="4">
        <v>2580.1442</v>
      </c>
      <c r="E245" s="4">
        <v>15295.896</v>
      </c>
    </row>
    <row r="246" spans="1:5">
      <c r="A246" s="2" t="s">
        <v>15</v>
      </c>
      <c r="B246" s="2" t="s">
        <v>7</v>
      </c>
      <c r="C246" s="3">
        <v>8856</v>
      </c>
      <c r="D246" s="4">
        <v>2289.0182</v>
      </c>
      <c r="E246" s="4">
        <v>60397.92000000001</v>
      </c>
    </row>
    <row r="247" spans="1:5">
      <c r="A247" s="2" t="s">
        <v>15</v>
      </c>
      <c r="B247" s="2" t="s">
        <v>7</v>
      </c>
      <c r="C247" s="3">
        <v>752.4</v>
      </c>
      <c r="D247" s="4">
        <v>1693.4676</v>
      </c>
      <c r="E247" s="4">
        <v>5131.368</v>
      </c>
    </row>
    <row r="248" spans="1:5">
      <c r="A248" s="2" t="s">
        <v>15</v>
      </c>
      <c r="B248" s="2" t="s">
        <v>7</v>
      </c>
      <c r="C248" s="3">
        <v>6120</v>
      </c>
      <c r="D248" s="4">
        <v>79.3683999999985</v>
      </c>
      <c r="E248" s="4">
        <v>41738.4</v>
      </c>
    </row>
    <row r="249" spans="1:5">
      <c r="A249" s="2" t="s">
        <v>15</v>
      </c>
      <c r="B249" s="2" t="s">
        <v>7</v>
      </c>
      <c r="C249" s="3">
        <v>1881</v>
      </c>
      <c r="D249" s="4">
        <v>2028.4304</v>
      </c>
      <c r="E249" s="4">
        <v>12828.42</v>
      </c>
    </row>
    <row r="250" spans="1:5">
      <c r="A250" s="2" t="s">
        <v>15</v>
      </c>
      <c r="B250" s="2" t="s">
        <v>7</v>
      </c>
      <c r="C250" s="3">
        <v>2310</v>
      </c>
      <c r="D250" s="4">
        <v>3044.0424</v>
      </c>
      <c r="E250" s="4">
        <v>15754.2</v>
      </c>
    </row>
    <row r="251" spans="1:5">
      <c r="A251" s="2" t="s">
        <v>15</v>
      </c>
      <c r="B251" s="2" t="s">
        <v>11</v>
      </c>
      <c r="C251" s="3">
        <v>180</v>
      </c>
      <c r="D251" s="4">
        <v>475.5529</v>
      </c>
      <c r="E251" s="4">
        <v>1225.8</v>
      </c>
    </row>
    <row r="252" spans="1:5">
      <c r="A252" s="2" t="s">
        <v>15</v>
      </c>
      <c r="B252" s="2" t="s">
        <v>11</v>
      </c>
      <c r="C252" s="3">
        <v>10500</v>
      </c>
      <c r="D252" s="4">
        <v>11978.3715</v>
      </c>
      <c r="E252" s="4">
        <v>71505</v>
      </c>
    </row>
    <row r="253" spans="1:5">
      <c r="A253" s="2" t="s">
        <v>15</v>
      </c>
      <c r="B253" s="2" t="s">
        <v>11</v>
      </c>
      <c r="C253" s="3">
        <v>248.6</v>
      </c>
      <c r="D253" s="4">
        <v>274.2242</v>
      </c>
      <c r="E253" s="4">
        <v>1692.966</v>
      </c>
    </row>
    <row r="254" spans="1:5">
      <c r="A254" s="2" t="s">
        <v>15</v>
      </c>
      <c r="B254" s="2" t="s">
        <v>11</v>
      </c>
      <c r="C254" s="3">
        <v>13560</v>
      </c>
      <c r="D254" s="4">
        <v>16761.8348</v>
      </c>
      <c r="E254" s="4">
        <v>92343.59999999999</v>
      </c>
    </row>
    <row r="255" spans="1:5">
      <c r="A255" s="2" t="s">
        <v>15</v>
      </c>
      <c r="B255" s="2" t="s">
        <v>11</v>
      </c>
      <c r="C255" s="3">
        <v>13560</v>
      </c>
      <c r="D255" s="4">
        <v>16761.8348</v>
      </c>
      <c r="E255" s="4">
        <v>92343.59999999999</v>
      </c>
    </row>
    <row r="256" spans="1:5">
      <c r="A256" s="2" t="s">
        <v>15</v>
      </c>
      <c r="B256" s="2" t="s">
        <v>11</v>
      </c>
      <c r="C256" s="3">
        <v>144</v>
      </c>
      <c r="D256" s="4">
        <v>-391.5633</v>
      </c>
      <c r="E256" s="4">
        <v>980.64</v>
      </c>
    </row>
    <row r="257" spans="1:5">
      <c r="A257" s="2" t="s">
        <v>15</v>
      </c>
      <c r="B257" s="2" t="s">
        <v>11</v>
      </c>
      <c r="C257" s="3">
        <v>8400</v>
      </c>
      <c r="D257" s="4">
        <v>6581.8292</v>
      </c>
      <c r="E257" s="4">
        <v>57204</v>
      </c>
    </row>
    <row r="258" spans="1:5">
      <c r="A258" s="2" t="s">
        <v>15</v>
      </c>
      <c r="B258" s="2" t="s">
        <v>11</v>
      </c>
      <c r="C258" s="3">
        <v>391.68</v>
      </c>
      <c r="D258" s="4">
        <v>-217.7782</v>
      </c>
      <c r="E258" s="4">
        <v>2671.2576</v>
      </c>
    </row>
    <row r="259" spans="1:5">
      <c r="A259" s="2" t="s">
        <v>15</v>
      </c>
      <c r="B259" s="2" t="s">
        <v>11</v>
      </c>
      <c r="C259" s="3">
        <v>460.8</v>
      </c>
      <c r="D259" s="4">
        <v>-252.9714</v>
      </c>
      <c r="E259" s="4">
        <v>3142.656</v>
      </c>
    </row>
    <row r="260" spans="1:5">
      <c r="A260" s="2" t="s">
        <v>15</v>
      </c>
      <c r="B260" s="2" t="s">
        <v>11</v>
      </c>
      <c r="C260" s="3">
        <v>391.68</v>
      </c>
      <c r="D260" s="4">
        <v>-214.5846</v>
      </c>
      <c r="E260" s="4">
        <v>2671.2576</v>
      </c>
    </row>
    <row r="261" spans="1:5">
      <c r="A261" s="2" t="s">
        <v>15</v>
      </c>
      <c r="B261" s="2" t="s">
        <v>11</v>
      </c>
      <c r="C261" s="3">
        <v>376.32</v>
      </c>
      <c r="D261" s="4">
        <v>-1821.709</v>
      </c>
      <c r="E261" s="4">
        <v>2566.5024</v>
      </c>
    </row>
    <row r="262" spans="1:5">
      <c r="A262" s="2" t="s">
        <v>15</v>
      </c>
      <c r="B262" s="2" t="s">
        <v>11</v>
      </c>
      <c r="C262" s="3">
        <v>4767.84</v>
      </c>
      <c r="D262" s="4">
        <v>6111.0707</v>
      </c>
      <c r="E262" s="4">
        <v>32468.9904</v>
      </c>
    </row>
    <row r="263" spans="1:5">
      <c r="A263" s="2" t="s">
        <v>15</v>
      </c>
      <c r="B263" s="2" t="s">
        <v>11</v>
      </c>
      <c r="C263" s="3">
        <v>5023.6</v>
      </c>
      <c r="D263" s="4">
        <v>1177.6774</v>
      </c>
      <c r="E263" s="4">
        <v>34260.952</v>
      </c>
    </row>
    <row r="264" spans="1:5">
      <c r="A264" s="2" t="s">
        <v>15</v>
      </c>
      <c r="B264" s="2" t="s">
        <v>11</v>
      </c>
      <c r="C264" s="3">
        <v>5905.2</v>
      </c>
      <c r="D264" s="4">
        <v>1414.98979999999</v>
      </c>
      <c r="E264" s="4">
        <v>40273.464</v>
      </c>
    </row>
    <row r="265" spans="1:5">
      <c r="A265" s="2" t="s">
        <v>15</v>
      </c>
      <c r="B265" s="2" t="s">
        <v>11</v>
      </c>
      <c r="C265" s="3">
        <v>4993.2</v>
      </c>
      <c r="D265" s="4">
        <v>1249.80640000001</v>
      </c>
      <c r="E265" s="4">
        <v>34053.624</v>
      </c>
    </row>
    <row r="266" spans="1:5">
      <c r="A266" s="2" t="s">
        <v>15</v>
      </c>
      <c r="B266" s="2" t="s">
        <v>11</v>
      </c>
      <c r="C266" s="3">
        <v>4833.6</v>
      </c>
      <c r="D266" s="4">
        <v>-3197.446</v>
      </c>
      <c r="E266" s="4">
        <v>32965.152</v>
      </c>
    </row>
    <row r="267" spans="1:5">
      <c r="A267" s="2" t="s">
        <v>15</v>
      </c>
      <c r="B267" s="2" t="s">
        <v>11</v>
      </c>
      <c r="C267" s="3">
        <v>1420.8</v>
      </c>
      <c r="D267" s="4">
        <v>414.153199999998</v>
      </c>
      <c r="E267" s="4">
        <v>9675.647999999999</v>
      </c>
    </row>
    <row r="268" spans="1:5">
      <c r="A268" s="2" t="s">
        <v>15</v>
      </c>
      <c r="B268" s="2" t="s">
        <v>11</v>
      </c>
      <c r="C268" s="3">
        <v>1657.6</v>
      </c>
      <c r="D268" s="4">
        <v>661.867099999998</v>
      </c>
      <c r="E268" s="4">
        <v>11288.256</v>
      </c>
    </row>
    <row r="269" spans="1:5">
      <c r="A269" s="2" t="s">
        <v>15</v>
      </c>
      <c r="B269" s="2" t="s">
        <v>11</v>
      </c>
      <c r="C269" s="3">
        <v>1644.8</v>
      </c>
      <c r="D269" s="4">
        <v>482.934199999999</v>
      </c>
      <c r="E269" s="4">
        <v>11233.984</v>
      </c>
    </row>
    <row r="270" spans="1:5">
      <c r="A270" s="2" t="s">
        <v>15</v>
      </c>
      <c r="B270" s="2" t="s">
        <v>11</v>
      </c>
      <c r="C270" s="3">
        <v>2156.8</v>
      </c>
      <c r="D270" s="4">
        <v>547.519200000004</v>
      </c>
      <c r="E270" s="4">
        <v>14709.376</v>
      </c>
    </row>
    <row r="271" spans="1:5">
      <c r="A271" s="2" t="s">
        <v>15</v>
      </c>
      <c r="B271" s="2" t="s">
        <v>11</v>
      </c>
      <c r="C271" s="3">
        <v>1683.2</v>
      </c>
      <c r="D271" s="4">
        <v>870.0936</v>
      </c>
      <c r="E271" s="4">
        <v>11580.416</v>
      </c>
    </row>
    <row r="272" spans="1:5">
      <c r="A272" s="2" t="s">
        <v>15</v>
      </c>
      <c r="B272" s="2" t="s">
        <v>11</v>
      </c>
      <c r="C272" s="3">
        <v>2185.6</v>
      </c>
      <c r="D272" s="4">
        <v>824.167600000001</v>
      </c>
      <c r="E272" s="4">
        <v>15036.928</v>
      </c>
    </row>
    <row r="273" spans="1:5">
      <c r="A273" s="2" t="s">
        <v>15</v>
      </c>
      <c r="B273" s="2" t="s">
        <v>11</v>
      </c>
      <c r="C273" s="3">
        <v>2016</v>
      </c>
      <c r="D273" s="4">
        <v>513.985200000002</v>
      </c>
      <c r="E273" s="4">
        <v>13749.12</v>
      </c>
    </row>
    <row r="274" spans="1:5">
      <c r="A274" s="2" t="s">
        <v>15</v>
      </c>
      <c r="B274" s="2" t="s">
        <v>11</v>
      </c>
      <c r="C274" s="3">
        <v>1998</v>
      </c>
      <c r="D274" s="4">
        <v>-217.421300000001</v>
      </c>
      <c r="E274" s="4">
        <v>13726.26</v>
      </c>
    </row>
    <row r="275" spans="1:5">
      <c r="A275" s="2" t="s">
        <v>15</v>
      </c>
      <c r="B275" s="2" t="s">
        <v>11</v>
      </c>
      <c r="C275" s="3">
        <v>4000</v>
      </c>
      <c r="D275" s="4">
        <v>2950.46</v>
      </c>
      <c r="E275" s="4">
        <v>27480</v>
      </c>
    </row>
    <row r="276" spans="1:5">
      <c r="A276" s="2" t="s">
        <v>15</v>
      </c>
      <c r="B276" s="2" t="s">
        <v>11</v>
      </c>
      <c r="C276" s="3">
        <v>180</v>
      </c>
      <c r="D276" s="4">
        <v>369.3529</v>
      </c>
      <c r="E276" s="4">
        <v>1225.8</v>
      </c>
    </row>
    <row r="277" spans="1:5">
      <c r="A277" s="2" t="s">
        <v>15</v>
      </c>
      <c r="B277" s="2" t="s">
        <v>11</v>
      </c>
      <c r="C277" s="3">
        <v>10500</v>
      </c>
      <c r="D277" s="4">
        <v>22939.6815</v>
      </c>
      <c r="E277" s="4">
        <v>71505</v>
      </c>
    </row>
    <row r="278" spans="1:5">
      <c r="A278" s="2" t="s">
        <v>15</v>
      </c>
      <c r="B278" s="2" t="s">
        <v>11</v>
      </c>
      <c r="C278" s="3">
        <v>435.05</v>
      </c>
      <c r="D278" s="4">
        <v>-406.7442</v>
      </c>
      <c r="E278" s="4">
        <v>2962.6905</v>
      </c>
    </row>
    <row r="279" spans="1:5">
      <c r="A279" s="2" t="s">
        <v>15</v>
      </c>
      <c r="B279" s="2" t="s">
        <v>11</v>
      </c>
      <c r="C279" s="3">
        <v>23730</v>
      </c>
      <c r="D279" s="4">
        <v>13350.9159</v>
      </c>
      <c r="E279" s="4">
        <v>161601.3</v>
      </c>
    </row>
    <row r="280" spans="1:5">
      <c r="A280" s="2" t="s">
        <v>15</v>
      </c>
      <c r="B280" s="2" t="s">
        <v>11</v>
      </c>
      <c r="C280" s="3">
        <v>23730</v>
      </c>
      <c r="D280" s="4">
        <v>13350.9159</v>
      </c>
      <c r="E280" s="4">
        <v>161601.3</v>
      </c>
    </row>
    <row r="281" spans="1:5">
      <c r="A281" s="2" t="s">
        <v>15</v>
      </c>
      <c r="B281" s="2" t="s">
        <v>11</v>
      </c>
      <c r="C281" s="3">
        <v>1082.4</v>
      </c>
      <c r="D281" s="4">
        <v>-1333.5766</v>
      </c>
      <c r="E281" s="4">
        <v>7436.088000000001</v>
      </c>
    </row>
    <row r="282" spans="1:5">
      <c r="A282" s="2" t="s">
        <v>15</v>
      </c>
      <c r="B282" s="2" t="s">
        <v>11</v>
      </c>
      <c r="C282" s="3">
        <v>144</v>
      </c>
      <c r="D282" s="4">
        <v>-65.5932999999999</v>
      </c>
      <c r="E282" s="4">
        <v>980.64</v>
      </c>
    </row>
    <row r="283" spans="1:5">
      <c r="A283" s="2" t="s">
        <v>15</v>
      </c>
      <c r="B283" s="2" t="s">
        <v>11</v>
      </c>
      <c r="C283" s="3">
        <v>8400</v>
      </c>
      <c r="D283" s="4">
        <v>-2710.2108</v>
      </c>
      <c r="E283" s="4">
        <v>57204</v>
      </c>
    </row>
    <row r="284" spans="1:5">
      <c r="A284" s="2" t="s">
        <v>15</v>
      </c>
      <c r="B284" s="2" t="s">
        <v>11</v>
      </c>
      <c r="C284" s="3">
        <v>856.8</v>
      </c>
      <c r="D284" s="4">
        <v>1112.3978</v>
      </c>
      <c r="E284" s="4">
        <v>5834.807999999999</v>
      </c>
    </row>
    <row r="285" spans="1:5">
      <c r="A285" s="2" t="s">
        <v>15</v>
      </c>
      <c r="B285" s="2" t="s">
        <v>11</v>
      </c>
      <c r="C285" s="3">
        <v>1159.2</v>
      </c>
      <c r="D285" s="4">
        <v>1543.1665</v>
      </c>
      <c r="E285" s="4">
        <v>7894.152</v>
      </c>
    </row>
    <row r="286" spans="1:5">
      <c r="A286" s="2" t="s">
        <v>15</v>
      </c>
      <c r="B286" s="2" t="s">
        <v>11</v>
      </c>
      <c r="C286" s="3">
        <v>890.4</v>
      </c>
      <c r="D286" s="4">
        <v>1172.6994</v>
      </c>
      <c r="E286" s="4">
        <v>6081.432</v>
      </c>
    </row>
    <row r="287" spans="1:5">
      <c r="A287" s="2" t="s">
        <v>15</v>
      </c>
      <c r="B287" s="2" t="s">
        <v>11</v>
      </c>
      <c r="C287" s="3">
        <v>1629.6</v>
      </c>
      <c r="D287" s="4">
        <v>2133.6144</v>
      </c>
      <c r="E287" s="4">
        <v>11113.872</v>
      </c>
    </row>
    <row r="288" spans="1:5">
      <c r="A288" s="2" t="s">
        <v>15</v>
      </c>
      <c r="B288" s="2" t="s">
        <v>11</v>
      </c>
      <c r="C288" s="3">
        <v>1411.2</v>
      </c>
      <c r="D288" s="4">
        <v>2009.306</v>
      </c>
      <c r="E288" s="4">
        <v>9709.056</v>
      </c>
    </row>
    <row r="289" spans="1:5">
      <c r="A289" s="2" t="s">
        <v>15</v>
      </c>
      <c r="B289" s="2" t="s">
        <v>11</v>
      </c>
      <c r="C289" s="3">
        <v>1663.2</v>
      </c>
      <c r="D289" s="4">
        <v>2219.246</v>
      </c>
      <c r="E289" s="4">
        <v>11442.816</v>
      </c>
    </row>
    <row r="290" spans="1:5">
      <c r="A290" s="2" t="s">
        <v>15</v>
      </c>
      <c r="B290" s="2" t="s">
        <v>11</v>
      </c>
      <c r="C290" s="3">
        <v>2654.4</v>
      </c>
      <c r="D290" s="4">
        <v>3611.5684</v>
      </c>
      <c r="E290" s="4">
        <v>18103.008</v>
      </c>
    </row>
    <row r="291" spans="1:5">
      <c r="A291" s="2" t="s">
        <v>15</v>
      </c>
      <c r="B291" s="2" t="s">
        <v>11</v>
      </c>
      <c r="C291" s="3">
        <v>294.84</v>
      </c>
      <c r="D291" s="4">
        <v>71.53999999999979</v>
      </c>
      <c r="E291" s="4">
        <v>2007.8604</v>
      </c>
    </row>
    <row r="292" spans="1:5">
      <c r="A292" s="2" t="s">
        <v>15</v>
      </c>
      <c r="B292" s="2" t="s">
        <v>11</v>
      </c>
      <c r="C292" s="3">
        <v>294.84</v>
      </c>
      <c r="D292" s="4">
        <v>-540.6695999999999</v>
      </c>
      <c r="E292" s="4">
        <v>2013.7572</v>
      </c>
    </row>
    <row r="293" spans="1:5">
      <c r="A293" s="2" t="s">
        <v>15</v>
      </c>
      <c r="B293" s="2" t="s">
        <v>11</v>
      </c>
      <c r="C293" s="3">
        <v>207.48</v>
      </c>
      <c r="D293" s="4">
        <v>56.8430999999997</v>
      </c>
      <c r="E293" s="4">
        <v>1412.9388</v>
      </c>
    </row>
    <row r="294" spans="1:5">
      <c r="A294" s="2" t="s">
        <v>15</v>
      </c>
      <c r="B294" s="2" t="s">
        <v>11</v>
      </c>
      <c r="C294" s="3">
        <v>376.74</v>
      </c>
      <c r="D294" s="4">
        <v>95.8050000000007</v>
      </c>
      <c r="E294" s="4">
        <v>2569.3668</v>
      </c>
    </row>
    <row r="295" spans="1:5">
      <c r="A295" s="2" t="s">
        <v>15</v>
      </c>
      <c r="B295" s="2" t="s">
        <v>11</v>
      </c>
      <c r="C295" s="3">
        <v>333.06</v>
      </c>
      <c r="D295" s="4">
        <v>121.8532</v>
      </c>
      <c r="E295" s="4">
        <v>2291.4528</v>
      </c>
    </row>
    <row r="296" spans="1:5">
      <c r="A296" s="2" t="s">
        <v>15</v>
      </c>
      <c r="B296" s="2" t="s">
        <v>11</v>
      </c>
      <c r="C296" s="3">
        <v>387.66</v>
      </c>
      <c r="D296" s="4">
        <v>116.1668</v>
      </c>
      <c r="E296" s="4">
        <v>2667.1008</v>
      </c>
    </row>
    <row r="297" spans="1:5">
      <c r="A297" s="2" t="s">
        <v>15</v>
      </c>
      <c r="B297" s="2" t="s">
        <v>11</v>
      </c>
      <c r="C297" s="3">
        <v>343.98</v>
      </c>
      <c r="D297" s="4">
        <v>68.4879999999999</v>
      </c>
      <c r="E297" s="4">
        <v>2345.9436</v>
      </c>
    </row>
    <row r="298" spans="1:5">
      <c r="A298" s="2" t="s">
        <v>15</v>
      </c>
      <c r="B298" s="2" t="s">
        <v>11</v>
      </c>
      <c r="C298" s="3">
        <v>180</v>
      </c>
      <c r="D298" s="4">
        <v>289.7129</v>
      </c>
      <c r="E298" s="4">
        <v>1225.8</v>
      </c>
    </row>
    <row r="299" spans="1:5">
      <c r="A299" s="2" t="s">
        <v>15</v>
      </c>
      <c r="B299" s="2" t="s">
        <v>11</v>
      </c>
      <c r="C299" s="3">
        <v>10500</v>
      </c>
      <c r="D299" s="4">
        <v>18293.6615</v>
      </c>
      <c r="E299" s="4">
        <v>71505</v>
      </c>
    </row>
    <row r="300" spans="1:5">
      <c r="A300" s="2" t="s">
        <v>15</v>
      </c>
      <c r="B300" s="2" t="s">
        <v>11</v>
      </c>
      <c r="C300" s="3">
        <v>108</v>
      </c>
      <c r="D300" s="4">
        <v>-144.7895</v>
      </c>
      <c r="E300" s="4">
        <v>735.4799999999999</v>
      </c>
    </row>
    <row r="301" spans="1:5">
      <c r="A301" s="2" t="s">
        <v>15</v>
      </c>
      <c r="B301" s="2" t="s">
        <v>11</v>
      </c>
      <c r="C301" s="3">
        <v>6300</v>
      </c>
      <c r="D301" s="4">
        <v>-7607.87310000001</v>
      </c>
      <c r="E301" s="4">
        <v>42903</v>
      </c>
    </row>
    <row r="302" spans="1:5">
      <c r="A302" s="2" t="s">
        <v>15</v>
      </c>
      <c r="B302" s="2" t="s">
        <v>11</v>
      </c>
      <c r="C302" s="3">
        <v>248.6</v>
      </c>
      <c r="D302" s="4">
        <v>11.3941999999998</v>
      </c>
      <c r="E302" s="4">
        <v>1692.966</v>
      </c>
    </row>
    <row r="303" spans="1:5">
      <c r="A303" s="2" t="s">
        <v>15</v>
      </c>
      <c r="B303" s="2" t="s">
        <v>11</v>
      </c>
      <c r="C303" s="3">
        <v>13560</v>
      </c>
      <c r="D303" s="4">
        <v>2425.55479999999</v>
      </c>
      <c r="E303" s="4">
        <v>92343.59999999999</v>
      </c>
    </row>
    <row r="304" spans="1:5">
      <c r="A304" s="2" t="s">
        <v>15</v>
      </c>
      <c r="B304" s="2" t="s">
        <v>11</v>
      </c>
      <c r="C304" s="3">
        <v>13560</v>
      </c>
      <c r="D304" s="4">
        <v>2425.55479999999</v>
      </c>
      <c r="E304" s="4">
        <v>92343.59999999999</v>
      </c>
    </row>
    <row r="305" spans="1:5">
      <c r="A305" s="2" t="s">
        <v>15</v>
      </c>
      <c r="B305" s="2" t="s">
        <v>11</v>
      </c>
      <c r="C305" s="3">
        <v>310.75</v>
      </c>
      <c r="D305" s="4">
        <v>274.6087</v>
      </c>
      <c r="E305" s="4">
        <v>2116.2075</v>
      </c>
    </row>
    <row r="306" spans="1:5">
      <c r="A306" s="2" t="s">
        <v>15</v>
      </c>
      <c r="B306" s="2" t="s">
        <v>11</v>
      </c>
      <c r="C306" s="3">
        <v>16950</v>
      </c>
      <c r="D306" s="4">
        <v>17235.4785</v>
      </c>
      <c r="E306" s="4">
        <v>115429.5</v>
      </c>
    </row>
    <row r="307" spans="1:5">
      <c r="A307" s="2" t="s">
        <v>15</v>
      </c>
      <c r="B307" s="2" t="s">
        <v>11</v>
      </c>
      <c r="C307" s="3">
        <v>16950</v>
      </c>
      <c r="D307" s="4">
        <v>17235.4785</v>
      </c>
      <c r="E307" s="4">
        <v>115429.5</v>
      </c>
    </row>
    <row r="308" spans="1:5">
      <c r="A308" s="2" t="s">
        <v>15</v>
      </c>
      <c r="B308" s="2" t="s">
        <v>11</v>
      </c>
      <c r="C308" s="3">
        <v>108</v>
      </c>
      <c r="D308" s="4">
        <v>-256.2895</v>
      </c>
      <c r="E308" s="4">
        <v>735.4799999999999</v>
      </c>
    </row>
    <row r="309" spans="1:5">
      <c r="A309" s="2" t="s">
        <v>15</v>
      </c>
      <c r="B309" s="2" t="s">
        <v>11</v>
      </c>
      <c r="C309" s="3">
        <v>6300</v>
      </c>
      <c r="D309" s="4">
        <v>-14112.3031</v>
      </c>
      <c r="E309" s="4">
        <v>42903</v>
      </c>
    </row>
    <row r="310" spans="1:5">
      <c r="A310" s="2" t="s">
        <v>15</v>
      </c>
      <c r="B310" s="2" t="s">
        <v>11</v>
      </c>
      <c r="C310" s="3">
        <v>306</v>
      </c>
      <c r="D310" s="4">
        <v>468.6144</v>
      </c>
      <c r="E310" s="4">
        <v>2083.86</v>
      </c>
    </row>
    <row r="311" spans="1:5">
      <c r="A311" s="2" t="s">
        <v>15</v>
      </c>
      <c r="B311" s="2" t="s">
        <v>11</v>
      </c>
      <c r="C311" s="3">
        <v>326.4</v>
      </c>
      <c r="D311" s="4">
        <v>495.2584</v>
      </c>
      <c r="E311" s="4">
        <v>2229.312</v>
      </c>
    </row>
    <row r="312" spans="1:5">
      <c r="A312" s="2" t="s">
        <v>15</v>
      </c>
      <c r="B312" s="2" t="s">
        <v>11</v>
      </c>
      <c r="C312" s="3">
        <v>530.4</v>
      </c>
      <c r="D312" s="4">
        <v>861.3396</v>
      </c>
      <c r="E312" s="4">
        <v>3649.152</v>
      </c>
    </row>
    <row r="313" spans="1:5">
      <c r="A313" s="2" t="s">
        <v>15</v>
      </c>
      <c r="B313" s="2" t="s">
        <v>11</v>
      </c>
      <c r="C313" s="3">
        <v>571.2</v>
      </c>
      <c r="D313" s="4">
        <v>862.428600000001</v>
      </c>
      <c r="E313" s="4">
        <v>3895.584</v>
      </c>
    </row>
    <row r="314" spans="1:5">
      <c r="A314" s="2" t="s">
        <v>15</v>
      </c>
      <c r="B314" s="2" t="s">
        <v>11</v>
      </c>
      <c r="C314" s="3">
        <v>612</v>
      </c>
      <c r="D314" s="4">
        <v>952.4956</v>
      </c>
      <c r="E314" s="4">
        <v>4210.559999999999</v>
      </c>
    </row>
    <row r="315" spans="1:5">
      <c r="A315" s="2" t="s">
        <v>15</v>
      </c>
      <c r="B315" s="2" t="s">
        <v>11</v>
      </c>
      <c r="C315" s="3">
        <v>877.2</v>
      </c>
      <c r="D315" s="4">
        <v>1369.2122</v>
      </c>
      <c r="E315" s="4">
        <v>5982.504000000001</v>
      </c>
    </row>
    <row r="316" spans="1:5">
      <c r="A316" s="2" t="s">
        <v>15</v>
      </c>
      <c r="B316" s="2" t="s">
        <v>11</v>
      </c>
      <c r="C316" s="3">
        <v>1224</v>
      </c>
      <c r="D316" s="4">
        <v>958.4223</v>
      </c>
      <c r="E316" s="4">
        <v>8335.439999999999</v>
      </c>
    </row>
    <row r="317" spans="1:5">
      <c r="A317" s="2" t="s">
        <v>15</v>
      </c>
      <c r="B317" s="2" t="s">
        <v>11</v>
      </c>
      <c r="C317" s="3">
        <v>1045.5</v>
      </c>
      <c r="D317" s="4">
        <v>847.0092</v>
      </c>
      <c r="E317" s="4">
        <v>7119.855</v>
      </c>
    </row>
    <row r="318" spans="1:5">
      <c r="A318" s="2" t="s">
        <v>15</v>
      </c>
      <c r="B318" s="2" t="s">
        <v>11</v>
      </c>
      <c r="C318" s="3">
        <v>1122</v>
      </c>
      <c r="D318" s="4">
        <v>901.024600000001</v>
      </c>
      <c r="E318" s="4">
        <v>7663.26</v>
      </c>
    </row>
    <row r="319" spans="1:5">
      <c r="A319" s="2" t="s">
        <v>15</v>
      </c>
      <c r="B319" s="2" t="s">
        <v>11</v>
      </c>
      <c r="C319" s="3">
        <v>1785</v>
      </c>
      <c r="D319" s="4">
        <v>1422.3188</v>
      </c>
      <c r="E319" s="4">
        <v>12173.7</v>
      </c>
    </row>
    <row r="320" spans="1:5">
      <c r="A320" s="2" t="s">
        <v>15</v>
      </c>
      <c r="B320" s="2" t="s">
        <v>11</v>
      </c>
      <c r="C320" s="3">
        <v>1734</v>
      </c>
      <c r="D320" s="4">
        <v>1561.976</v>
      </c>
      <c r="E320" s="4">
        <v>11929.92</v>
      </c>
    </row>
    <row r="321" spans="1:5">
      <c r="A321" s="2" t="s">
        <v>15</v>
      </c>
      <c r="B321" s="2" t="s">
        <v>11</v>
      </c>
      <c r="C321" s="3">
        <v>1861.5</v>
      </c>
      <c r="D321" s="4">
        <v>1537.0104</v>
      </c>
      <c r="E321" s="4">
        <v>12807.12</v>
      </c>
    </row>
    <row r="322" spans="1:5">
      <c r="A322" s="2" t="s">
        <v>15</v>
      </c>
      <c r="B322" s="2" t="s">
        <v>11</v>
      </c>
      <c r="C322" s="3">
        <v>2907</v>
      </c>
      <c r="D322" s="4">
        <v>2444.6708</v>
      </c>
      <c r="E322" s="4">
        <v>19825.74</v>
      </c>
    </row>
    <row r="323" spans="1:5">
      <c r="A323" s="2" t="s">
        <v>15</v>
      </c>
      <c r="B323" s="2" t="s">
        <v>11</v>
      </c>
      <c r="C323" s="3">
        <v>180</v>
      </c>
      <c r="D323" s="4">
        <v>-464.2771</v>
      </c>
      <c r="E323" s="4">
        <v>1225.8</v>
      </c>
    </row>
    <row r="324" spans="1:5">
      <c r="A324" s="2" t="s">
        <v>15</v>
      </c>
      <c r="B324" s="2" t="s">
        <v>11</v>
      </c>
      <c r="C324" s="3">
        <v>10500</v>
      </c>
      <c r="D324" s="4">
        <v>-34516.0685</v>
      </c>
      <c r="E324" s="4">
        <v>71505</v>
      </c>
    </row>
    <row r="325" spans="1:5">
      <c r="A325" s="2" t="s">
        <v>15</v>
      </c>
      <c r="B325" s="2" t="s">
        <v>11</v>
      </c>
      <c r="C325" s="3">
        <v>8060.22</v>
      </c>
      <c r="D325" s="4">
        <v>5866.258</v>
      </c>
      <c r="E325" s="4">
        <v>55696.1202</v>
      </c>
    </row>
    <row r="326" spans="1:5">
      <c r="A326" s="2" t="s">
        <v>15</v>
      </c>
      <c r="B326" s="2" t="s">
        <v>12</v>
      </c>
      <c r="C326" s="3">
        <v>1732.25</v>
      </c>
      <c r="D326" s="4">
        <v>1848.9986</v>
      </c>
      <c r="E326" s="4">
        <v>11813.945</v>
      </c>
    </row>
    <row r="327" spans="1:5">
      <c r="A327" s="2" t="s">
        <v>15</v>
      </c>
      <c r="B327" s="2" t="s">
        <v>12</v>
      </c>
      <c r="C327" s="3">
        <v>197.3</v>
      </c>
      <c r="D327" s="4">
        <v>65.55419999999999</v>
      </c>
      <c r="E327" s="4">
        <v>1345.586</v>
      </c>
    </row>
    <row r="328" spans="1:5">
      <c r="A328" s="2" t="s">
        <v>15</v>
      </c>
      <c r="B328" s="2" t="s">
        <v>9</v>
      </c>
      <c r="C328" s="3">
        <v>4709.76</v>
      </c>
      <c r="D328" s="4">
        <v>254.627300000002</v>
      </c>
      <c r="E328" s="4">
        <v>32356.0512</v>
      </c>
    </row>
    <row r="329" spans="1:5">
      <c r="A329" s="2" t="s">
        <v>15</v>
      </c>
      <c r="B329" s="2" t="s">
        <v>9</v>
      </c>
      <c r="C329" s="3">
        <v>2676</v>
      </c>
      <c r="D329" s="4">
        <v>-1323.5686</v>
      </c>
      <c r="E329" s="4">
        <v>18250.32</v>
      </c>
    </row>
    <row r="330" spans="1:5">
      <c r="A330" s="2" t="s">
        <v>15</v>
      </c>
      <c r="B330" s="2" t="s">
        <v>9</v>
      </c>
      <c r="C330" s="3">
        <v>6950.4</v>
      </c>
      <c r="D330" s="4">
        <v>6576.29500000001</v>
      </c>
      <c r="E330" s="4">
        <v>47401.728</v>
      </c>
    </row>
    <row r="331" spans="1:5">
      <c r="A331" s="2" t="s">
        <v>15</v>
      </c>
      <c r="B331" s="2" t="s">
        <v>9</v>
      </c>
      <c r="C331" s="3">
        <v>2258.88</v>
      </c>
      <c r="D331" s="4">
        <v>1869.3074</v>
      </c>
      <c r="E331" s="4">
        <v>15405.5616</v>
      </c>
    </row>
    <row r="332" spans="1:5">
      <c r="A332" s="2" t="s">
        <v>16</v>
      </c>
      <c r="B332" s="2" t="s">
        <v>7</v>
      </c>
      <c r="C332" s="3">
        <v>2780.42</v>
      </c>
      <c r="D332" s="4">
        <v>4016.4588</v>
      </c>
      <c r="E332" s="4">
        <v>18795.6392</v>
      </c>
    </row>
    <row r="333" spans="1:5">
      <c r="A333" s="2" t="s">
        <v>16</v>
      </c>
      <c r="B333" s="2" t="s">
        <v>7</v>
      </c>
      <c r="C333" s="3">
        <v>1209.6</v>
      </c>
      <c r="D333" s="4">
        <v>393.436799999998</v>
      </c>
      <c r="E333" s="4">
        <v>8370.431999999999</v>
      </c>
    </row>
    <row r="334" spans="1:5">
      <c r="A334" s="2" t="s">
        <v>16</v>
      </c>
      <c r="B334" s="2" t="s">
        <v>7</v>
      </c>
      <c r="C334" s="3">
        <v>2131.92</v>
      </c>
      <c r="D334" s="4">
        <v>999.85</v>
      </c>
      <c r="E334" s="4">
        <v>14752.8864</v>
      </c>
    </row>
    <row r="335" spans="1:5">
      <c r="A335" s="2" t="s">
        <v>16</v>
      </c>
      <c r="B335" s="2" t="s">
        <v>7</v>
      </c>
      <c r="C335" s="3">
        <v>3764.75</v>
      </c>
      <c r="D335" s="4">
        <v>5691.2464</v>
      </c>
      <c r="E335" s="4">
        <v>25449.71</v>
      </c>
    </row>
    <row r="336" spans="1:5">
      <c r="A336" s="2" t="s">
        <v>16</v>
      </c>
      <c r="B336" s="2" t="s">
        <v>7</v>
      </c>
      <c r="C336" s="3">
        <v>2343.6</v>
      </c>
      <c r="D336" s="4">
        <v>327.653199999999</v>
      </c>
      <c r="E336" s="4">
        <v>16217.712</v>
      </c>
    </row>
    <row r="337" spans="1:5">
      <c r="A337" s="2" t="s">
        <v>16</v>
      </c>
      <c r="B337" s="2" t="s">
        <v>7</v>
      </c>
      <c r="C337" s="3">
        <v>2522.97</v>
      </c>
      <c r="D337" s="4">
        <v>3905.864</v>
      </c>
      <c r="E337" s="4">
        <v>17055.2772</v>
      </c>
    </row>
    <row r="338" spans="1:5">
      <c r="A338" s="2" t="s">
        <v>16</v>
      </c>
      <c r="B338" s="2" t="s">
        <v>7</v>
      </c>
      <c r="C338" s="3">
        <v>2842.56</v>
      </c>
      <c r="D338" s="4">
        <v>1681.2608</v>
      </c>
      <c r="E338" s="4">
        <v>19670.5152</v>
      </c>
    </row>
    <row r="339" spans="1:5">
      <c r="A339" s="2" t="s">
        <v>16</v>
      </c>
      <c r="B339" s="2" t="s">
        <v>7</v>
      </c>
      <c r="C339" s="3">
        <v>969.84</v>
      </c>
      <c r="D339" s="4">
        <v>-35.1289999999985</v>
      </c>
      <c r="E339" s="4">
        <v>6614.308800000001</v>
      </c>
    </row>
    <row r="340" spans="1:5">
      <c r="A340" s="2" t="s">
        <v>16</v>
      </c>
      <c r="B340" s="2" t="s">
        <v>7</v>
      </c>
      <c r="C340" s="3">
        <v>2205</v>
      </c>
      <c r="D340" s="4">
        <v>3311.9874</v>
      </c>
      <c r="E340" s="4">
        <v>14927.85</v>
      </c>
    </row>
    <row r="341" spans="1:5">
      <c r="A341" s="2" t="s">
        <v>16</v>
      </c>
      <c r="B341" s="2" t="s">
        <v>7</v>
      </c>
      <c r="C341" s="3">
        <v>1874.88</v>
      </c>
      <c r="D341" s="4">
        <v>2103.808</v>
      </c>
      <c r="E341" s="4">
        <v>12692.9376</v>
      </c>
    </row>
    <row r="342" spans="1:5">
      <c r="A342" s="2" t="s">
        <v>16</v>
      </c>
      <c r="B342" s="2" t="s">
        <v>7</v>
      </c>
      <c r="C342" s="3">
        <v>920.16</v>
      </c>
      <c r="D342" s="4">
        <v>-1021.8496</v>
      </c>
      <c r="E342" s="4">
        <v>6275.4912</v>
      </c>
    </row>
    <row r="343" spans="1:5">
      <c r="A343" s="2" t="s">
        <v>16</v>
      </c>
      <c r="B343" s="2" t="s">
        <v>7</v>
      </c>
      <c r="C343" s="3">
        <v>2630.88</v>
      </c>
      <c r="D343" s="4">
        <v>3730.8998</v>
      </c>
      <c r="E343" s="4">
        <v>17811.0576</v>
      </c>
    </row>
    <row r="344" spans="1:5">
      <c r="A344" s="2" t="s">
        <v>16</v>
      </c>
      <c r="B344" s="2" t="s">
        <v>7</v>
      </c>
      <c r="C344" s="3">
        <v>921.6</v>
      </c>
      <c r="D344" s="4">
        <v>1776.675</v>
      </c>
      <c r="E344" s="4">
        <v>6239.232</v>
      </c>
    </row>
    <row r="345" spans="1:5">
      <c r="A345" s="2" t="s">
        <v>16</v>
      </c>
      <c r="B345" s="2" t="s">
        <v>7</v>
      </c>
      <c r="C345" s="3">
        <v>1874.88</v>
      </c>
      <c r="D345" s="4">
        <v>1802.248</v>
      </c>
      <c r="E345" s="4">
        <v>12692.9376</v>
      </c>
    </row>
    <row r="346" spans="1:5">
      <c r="A346" s="2" t="s">
        <v>16</v>
      </c>
      <c r="B346" s="2" t="s">
        <v>7</v>
      </c>
      <c r="C346" s="3">
        <v>2761.2</v>
      </c>
      <c r="D346" s="4">
        <v>1678.2473</v>
      </c>
      <c r="E346" s="4">
        <v>18748.548</v>
      </c>
    </row>
    <row r="347" spans="1:5">
      <c r="A347" s="2" t="s">
        <v>16</v>
      </c>
      <c r="B347" s="2" t="s">
        <v>7</v>
      </c>
      <c r="C347" s="3">
        <v>3030</v>
      </c>
      <c r="D347" s="4">
        <v>4303.5772</v>
      </c>
      <c r="E347" s="4">
        <v>20513.1</v>
      </c>
    </row>
    <row r="348" spans="1:5">
      <c r="A348" s="2" t="s">
        <v>16</v>
      </c>
      <c r="B348" s="2" t="s">
        <v>7</v>
      </c>
      <c r="C348" s="3">
        <v>3830.4</v>
      </c>
      <c r="D348" s="4">
        <v>4876.6144</v>
      </c>
      <c r="E348" s="4">
        <v>25931.808</v>
      </c>
    </row>
    <row r="349" spans="1:5">
      <c r="A349" s="2" t="s">
        <v>16</v>
      </c>
      <c r="B349" s="2" t="s">
        <v>7</v>
      </c>
      <c r="C349" s="3">
        <v>4500</v>
      </c>
      <c r="D349" s="4">
        <v>4942.6711</v>
      </c>
      <c r="E349" s="4">
        <v>30465</v>
      </c>
    </row>
    <row r="350" spans="1:5">
      <c r="A350" s="2" t="s">
        <v>16</v>
      </c>
      <c r="B350" s="2" t="s">
        <v>7</v>
      </c>
      <c r="C350" s="3">
        <v>1440</v>
      </c>
      <c r="D350" s="4">
        <v>2002.0318</v>
      </c>
      <c r="E350" s="4">
        <v>9748.799999999999</v>
      </c>
    </row>
    <row r="351" spans="1:5">
      <c r="A351" s="2" t="s">
        <v>16</v>
      </c>
      <c r="B351" s="2" t="s">
        <v>7</v>
      </c>
      <c r="C351" s="3">
        <v>907.2</v>
      </c>
      <c r="D351" s="4">
        <v>105.237</v>
      </c>
      <c r="E351" s="4">
        <v>6187.104</v>
      </c>
    </row>
    <row r="352" spans="1:5">
      <c r="A352" s="2" t="s">
        <v>16</v>
      </c>
      <c r="B352" s="2" t="s">
        <v>7</v>
      </c>
      <c r="C352" s="3">
        <v>1166.4</v>
      </c>
      <c r="D352" s="4">
        <v>1442.4472</v>
      </c>
      <c r="E352" s="4">
        <v>7908.192000000001</v>
      </c>
    </row>
    <row r="353" spans="1:5">
      <c r="A353" s="2" t="s">
        <v>16</v>
      </c>
      <c r="B353" s="2" t="s">
        <v>7</v>
      </c>
      <c r="C353" s="3">
        <v>900.72</v>
      </c>
      <c r="D353" s="4">
        <v>715.549800000001</v>
      </c>
      <c r="E353" s="4">
        <v>6106.881600000001</v>
      </c>
    </row>
    <row r="354" spans="1:5">
      <c r="A354" s="2" t="s">
        <v>16</v>
      </c>
      <c r="B354" s="2" t="s">
        <v>7</v>
      </c>
      <c r="C354" s="3">
        <v>1296</v>
      </c>
      <c r="D354" s="4">
        <v>1689.4297</v>
      </c>
      <c r="E354" s="4">
        <v>8773.92</v>
      </c>
    </row>
    <row r="355" spans="1:5">
      <c r="A355" s="2" t="s">
        <v>16</v>
      </c>
      <c r="B355" s="2" t="s">
        <v>7</v>
      </c>
      <c r="C355" s="3">
        <v>1784.16</v>
      </c>
      <c r="D355" s="4">
        <v>1762.9619</v>
      </c>
      <c r="E355" s="4">
        <v>12078.7632</v>
      </c>
    </row>
    <row r="356" spans="1:5">
      <c r="A356" s="2" t="s">
        <v>16</v>
      </c>
      <c r="B356" s="2" t="s">
        <v>7</v>
      </c>
      <c r="C356" s="3">
        <v>1784.16</v>
      </c>
      <c r="D356" s="4">
        <v>1792.3519</v>
      </c>
      <c r="E356" s="4">
        <v>12078.7632</v>
      </c>
    </row>
    <row r="357" spans="1:5">
      <c r="A357" s="2" t="s">
        <v>16</v>
      </c>
      <c r="B357" s="2" t="s">
        <v>7</v>
      </c>
      <c r="C357" s="3">
        <v>720</v>
      </c>
      <c r="D357" s="4">
        <v>1182.4359</v>
      </c>
      <c r="E357" s="4">
        <v>4874.4</v>
      </c>
    </row>
    <row r="358" spans="1:5">
      <c r="A358" s="2" t="s">
        <v>16</v>
      </c>
      <c r="B358" s="2" t="s">
        <v>11</v>
      </c>
      <c r="C358" s="3">
        <v>399.36</v>
      </c>
      <c r="D358" s="4">
        <v>-220.3799</v>
      </c>
      <c r="E358" s="4">
        <v>2727.6288</v>
      </c>
    </row>
    <row r="359" spans="1:5">
      <c r="A359" s="2" t="s">
        <v>16</v>
      </c>
      <c r="B359" s="2" t="s">
        <v>11</v>
      </c>
      <c r="C359" s="3">
        <v>399.36</v>
      </c>
      <c r="D359" s="4">
        <v>-228.6946</v>
      </c>
      <c r="E359" s="4">
        <v>2723.6352</v>
      </c>
    </row>
    <row r="360" spans="1:5">
      <c r="A360" s="2" t="s">
        <v>16</v>
      </c>
      <c r="B360" s="2" t="s">
        <v>11</v>
      </c>
      <c r="C360" s="3">
        <v>360.96</v>
      </c>
      <c r="D360" s="4">
        <v>-112.4719</v>
      </c>
      <c r="E360" s="4">
        <v>2458.1376</v>
      </c>
    </row>
    <row r="361" spans="1:5">
      <c r="A361" s="2" t="s">
        <v>16</v>
      </c>
      <c r="B361" s="2" t="s">
        <v>11</v>
      </c>
      <c r="C361" s="3">
        <v>364.8</v>
      </c>
      <c r="D361" s="4">
        <v>-113.4106</v>
      </c>
      <c r="E361" s="4">
        <v>2484.288</v>
      </c>
    </row>
    <row r="362" spans="1:5">
      <c r="A362" s="2" t="s">
        <v>16</v>
      </c>
      <c r="B362" s="2" t="s">
        <v>11</v>
      </c>
      <c r="C362" s="3">
        <v>4767.84</v>
      </c>
      <c r="D362" s="4">
        <v>5948.8266</v>
      </c>
      <c r="E362" s="4">
        <v>32325.9552</v>
      </c>
    </row>
    <row r="363" spans="1:5">
      <c r="A363" s="2" t="s">
        <v>16</v>
      </c>
      <c r="B363" s="2" t="s">
        <v>11</v>
      </c>
      <c r="C363" s="3">
        <v>4468.8</v>
      </c>
      <c r="D363" s="4">
        <v>1074.00750000001</v>
      </c>
      <c r="E363" s="4">
        <v>30521.904</v>
      </c>
    </row>
    <row r="364" spans="1:5">
      <c r="A364" s="2" t="s">
        <v>16</v>
      </c>
      <c r="B364" s="2" t="s">
        <v>11</v>
      </c>
      <c r="C364" s="3">
        <v>4468.8</v>
      </c>
      <c r="D364" s="4">
        <v>935.455000000009</v>
      </c>
      <c r="E364" s="4">
        <v>30477.216</v>
      </c>
    </row>
    <row r="365" spans="1:5">
      <c r="A365" s="2" t="s">
        <v>16</v>
      </c>
      <c r="B365" s="2" t="s">
        <v>11</v>
      </c>
      <c r="C365" s="3">
        <v>3936.8</v>
      </c>
      <c r="D365" s="4">
        <v>-12834.9068</v>
      </c>
      <c r="E365" s="4">
        <v>26809.608</v>
      </c>
    </row>
    <row r="366" spans="1:5">
      <c r="A366" s="2" t="s">
        <v>16</v>
      </c>
      <c r="B366" s="2" t="s">
        <v>11</v>
      </c>
      <c r="C366" s="3">
        <v>3967.2</v>
      </c>
      <c r="D366" s="4">
        <v>2878.033</v>
      </c>
      <c r="E366" s="4">
        <v>27016.632</v>
      </c>
    </row>
    <row r="367" spans="1:5">
      <c r="A367" s="2" t="s">
        <v>16</v>
      </c>
      <c r="B367" s="2" t="s">
        <v>11</v>
      </c>
      <c r="C367" s="3">
        <v>240.24</v>
      </c>
      <c r="D367" s="4">
        <v>-373.7168</v>
      </c>
      <c r="E367" s="4">
        <v>1638.4368</v>
      </c>
    </row>
    <row r="368" spans="1:5">
      <c r="A368" s="2" t="s">
        <v>16</v>
      </c>
      <c r="B368" s="2" t="s">
        <v>11</v>
      </c>
      <c r="C368" s="3">
        <v>4011.84</v>
      </c>
      <c r="D368" s="4">
        <v>970.973200000001</v>
      </c>
      <c r="E368" s="4">
        <v>27360.7488</v>
      </c>
    </row>
    <row r="369" spans="1:5">
      <c r="A369" s="2" t="s">
        <v>16</v>
      </c>
      <c r="B369" s="2" t="s">
        <v>11</v>
      </c>
      <c r="C369" s="3">
        <v>2540.16</v>
      </c>
      <c r="D369" s="4">
        <v>2397.7237</v>
      </c>
      <c r="E369" s="4">
        <v>17196.8832</v>
      </c>
    </row>
    <row r="370" spans="1:5">
      <c r="A370" s="2" t="s">
        <v>16</v>
      </c>
      <c r="B370" s="2" t="s">
        <v>11</v>
      </c>
      <c r="C370" s="3">
        <v>907.2</v>
      </c>
      <c r="D370" s="4">
        <v>921.6745</v>
      </c>
      <c r="E370" s="4">
        <v>6141.744</v>
      </c>
    </row>
    <row r="371" spans="1:5">
      <c r="A371" s="2" t="s">
        <v>16</v>
      </c>
      <c r="B371" s="2" t="s">
        <v>12</v>
      </c>
      <c r="C371" s="3">
        <v>554.4</v>
      </c>
      <c r="D371" s="4">
        <v>753.3356</v>
      </c>
      <c r="E371" s="4">
        <v>3758.832</v>
      </c>
    </row>
    <row r="372" spans="1:5">
      <c r="A372" s="2" t="s">
        <v>16</v>
      </c>
      <c r="B372" s="2" t="s">
        <v>12</v>
      </c>
      <c r="C372" s="3">
        <v>2820</v>
      </c>
      <c r="D372" s="4">
        <v>1567.9184</v>
      </c>
      <c r="E372" s="4">
        <v>19147.8</v>
      </c>
    </row>
    <row r="373" spans="1:5">
      <c r="A373" s="2" t="s">
        <v>16</v>
      </c>
      <c r="B373" s="2" t="s">
        <v>12</v>
      </c>
      <c r="C373" s="3">
        <v>2076</v>
      </c>
      <c r="D373" s="4">
        <v>2316.9664</v>
      </c>
      <c r="E373" s="4">
        <v>14075.28</v>
      </c>
    </row>
    <row r="374" spans="1:5">
      <c r="A374" s="2" t="s">
        <v>16</v>
      </c>
      <c r="B374" s="2" t="s">
        <v>12</v>
      </c>
      <c r="C374" s="3">
        <v>1136</v>
      </c>
      <c r="D374" s="4">
        <v>1256.3542</v>
      </c>
      <c r="E374" s="4">
        <v>7702.08</v>
      </c>
    </row>
    <row r="375" spans="1:5">
      <c r="A375" s="2" t="s">
        <v>16</v>
      </c>
      <c r="B375" s="2" t="s">
        <v>12</v>
      </c>
      <c r="C375" s="3">
        <v>768</v>
      </c>
      <c r="D375" s="4">
        <v>524.4668</v>
      </c>
      <c r="E375" s="4">
        <v>5214.72</v>
      </c>
    </row>
    <row r="376" spans="1:5">
      <c r="A376" s="2" t="s">
        <v>16</v>
      </c>
      <c r="B376" s="2" t="s">
        <v>12</v>
      </c>
      <c r="C376" s="3">
        <v>1103.76</v>
      </c>
      <c r="D376" s="4">
        <v>742.1546</v>
      </c>
      <c r="E376" s="4">
        <v>7483.4928</v>
      </c>
    </row>
    <row r="377" spans="1:5">
      <c r="A377" s="2" t="s">
        <v>16</v>
      </c>
      <c r="B377" s="2" t="s">
        <v>12</v>
      </c>
      <c r="C377" s="3">
        <v>1449.9</v>
      </c>
      <c r="D377" s="4">
        <v>333.7658</v>
      </c>
      <c r="E377" s="4">
        <v>9830.322</v>
      </c>
    </row>
    <row r="378" spans="1:5">
      <c r="A378" s="2" t="s">
        <v>16</v>
      </c>
      <c r="B378" s="2" t="s">
        <v>12</v>
      </c>
      <c r="C378" s="3">
        <v>1608</v>
      </c>
      <c r="D378" s="4">
        <v>130.477999999999</v>
      </c>
      <c r="E378" s="4">
        <v>10902.24</v>
      </c>
    </row>
    <row r="379" spans="1:5">
      <c r="A379" s="2" t="s">
        <v>16</v>
      </c>
      <c r="B379" s="2" t="s">
        <v>13</v>
      </c>
      <c r="C379" s="3">
        <v>1716</v>
      </c>
      <c r="D379" s="4">
        <v>1.23180000000093</v>
      </c>
      <c r="E379" s="4">
        <v>11703.12</v>
      </c>
    </row>
    <row r="380" spans="1:5">
      <c r="A380" s="2" t="s">
        <v>16</v>
      </c>
      <c r="B380" s="2" t="s">
        <v>9</v>
      </c>
      <c r="C380" s="3">
        <v>20280</v>
      </c>
      <c r="D380" s="4">
        <v>3047.96239999999</v>
      </c>
      <c r="E380" s="4">
        <v>138106.8</v>
      </c>
    </row>
    <row r="381" spans="1:5">
      <c r="A381" s="2" t="s">
        <v>16</v>
      </c>
      <c r="B381" s="2" t="s">
        <v>9</v>
      </c>
      <c r="C381" s="3">
        <v>7781.04</v>
      </c>
      <c r="D381" s="4">
        <v>5203.7872</v>
      </c>
      <c r="E381" s="4">
        <v>53066.6928</v>
      </c>
    </row>
    <row r="382" spans="1:5">
      <c r="A382" s="2" t="s">
        <v>16</v>
      </c>
      <c r="B382" s="2" t="s">
        <v>9</v>
      </c>
      <c r="C382" s="3">
        <v>7781.04</v>
      </c>
      <c r="D382" s="4">
        <v>5203.7872</v>
      </c>
      <c r="E382" s="4">
        <v>53066.6928</v>
      </c>
    </row>
    <row r="383" spans="1:5">
      <c r="A383" s="2" t="s">
        <v>16</v>
      </c>
      <c r="B383" s="2" t="s">
        <v>9</v>
      </c>
      <c r="C383" s="3">
        <v>7858.08</v>
      </c>
      <c r="D383" s="4">
        <v>5255.27780000001</v>
      </c>
      <c r="E383" s="4">
        <v>53592.1056</v>
      </c>
    </row>
    <row r="384" spans="1:5">
      <c r="A384" s="2" t="s">
        <v>16</v>
      </c>
      <c r="B384" s="2" t="s">
        <v>9</v>
      </c>
      <c r="C384" s="3">
        <v>8538.48</v>
      </c>
      <c r="D384" s="4">
        <v>11677.5738</v>
      </c>
      <c r="E384" s="4">
        <v>58232.4336</v>
      </c>
    </row>
    <row r="385" spans="1:5">
      <c r="A385" s="2" t="s">
        <v>16</v>
      </c>
      <c r="B385" s="2" t="s">
        <v>9</v>
      </c>
      <c r="C385" s="3">
        <v>7193.28</v>
      </c>
      <c r="D385" s="4">
        <v>6686.3668</v>
      </c>
      <c r="E385" s="4">
        <v>49058.1696</v>
      </c>
    </row>
    <row r="386" spans="1:5">
      <c r="A386" s="2" t="s">
        <v>16</v>
      </c>
      <c r="B386" s="2" t="s">
        <v>9</v>
      </c>
      <c r="C386" s="3">
        <v>7193.28</v>
      </c>
      <c r="D386" s="4">
        <v>6686.3668</v>
      </c>
      <c r="E386" s="4">
        <v>49058.1696</v>
      </c>
    </row>
    <row r="387" spans="1:5">
      <c r="A387" s="2" t="s">
        <v>16</v>
      </c>
      <c r="B387" s="2" t="s">
        <v>9</v>
      </c>
      <c r="C387" s="3">
        <v>3371.76</v>
      </c>
      <c r="D387" s="4">
        <v>119.656400000002</v>
      </c>
      <c r="E387" s="4">
        <v>22894.2504</v>
      </c>
    </row>
    <row r="388" spans="1:5">
      <c r="A388" s="2" t="s">
        <v>16</v>
      </c>
      <c r="B388" s="2" t="s">
        <v>9</v>
      </c>
      <c r="C388" s="3">
        <v>6876</v>
      </c>
      <c r="D388" s="4">
        <v>2902.4712</v>
      </c>
      <c r="E388" s="4">
        <v>46481.76</v>
      </c>
    </row>
    <row r="389" spans="1:5">
      <c r="A389" s="2" t="s">
        <v>17</v>
      </c>
      <c r="B389" s="2" t="s">
        <v>7</v>
      </c>
      <c r="C389" s="3">
        <v>17667.58</v>
      </c>
      <c r="D389" s="4">
        <v>3623.14890000003</v>
      </c>
      <c r="E389" s="4">
        <v>119962.8682</v>
      </c>
    </row>
    <row r="390" spans="1:5">
      <c r="A390" s="2" t="s">
        <v>17</v>
      </c>
      <c r="B390" s="2" t="s">
        <v>7</v>
      </c>
      <c r="C390" s="3">
        <v>2160</v>
      </c>
      <c r="D390" s="4">
        <v>-550.104799999999</v>
      </c>
      <c r="E390" s="4">
        <v>14666.4</v>
      </c>
    </row>
    <row r="391" spans="1:5">
      <c r="A391" s="2" t="s">
        <v>17</v>
      </c>
      <c r="B391" s="2" t="s">
        <v>7</v>
      </c>
      <c r="C391" s="3">
        <v>900.72</v>
      </c>
      <c r="D391" s="4">
        <v>133.0756</v>
      </c>
      <c r="E391" s="4">
        <v>6088.8672</v>
      </c>
    </row>
    <row r="392" spans="1:5">
      <c r="A392" s="2" t="s">
        <v>17</v>
      </c>
      <c r="B392" s="2" t="s">
        <v>7</v>
      </c>
      <c r="C392" s="3">
        <v>1070.4</v>
      </c>
      <c r="D392" s="4">
        <v>842.5876</v>
      </c>
      <c r="E392" s="4">
        <v>7235.904</v>
      </c>
    </row>
    <row r="393" spans="1:5">
      <c r="A393" s="2" t="s">
        <v>17</v>
      </c>
      <c r="B393" s="2" t="s">
        <v>7</v>
      </c>
      <c r="C393" s="3">
        <v>9298.799999999999</v>
      </c>
      <c r="D393" s="4">
        <v>76.3266999999896</v>
      </c>
      <c r="E393" s="4">
        <v>62952.87599999999</v>
      </c>
    </row>
    <row r="394" spans="1:5">
      <c r="A394" s="2" t="s">
        <v>17</v>
      </c>
      <c r="B394" s="2" t="s">
        <v>11</v>
      </c>
      <c r="C394" s="3">
        <v>1984</v>
      </c>
      <c r="D394" s="4">
        <v>1743.0732</v>
      </c>
      <c r="E394" s="4">
        <v>13411.84</v>
      </c>
    </row>
    <row r="395" spans="1:5">
      <c r="A395" s="2" t="s">
        <v>17</v>
      </c>
      <c r="B395" s="2" t="s">
        <v>11</v>
      </c>
      <c r="C395" s="3">
        <v>2000</v>
      </c>
      <c r="D395" s="4">
        <v>-910.9600000000009</v>
      </c>
      <c r="E395" s="4">
        <v>13520</v>
      </c>
    </row>
    <row r="396" spans="1:5">
      <c r="A396" s="2" t="s">
        <v>17</v>
      </c>
      <c r="B396" s="2" t="s">
        <v>11</v>
      </c>
      <c r="C396" s="3">
        <v>1582.56</v>
      </c>
      <c r="D396" s="4">
        <v>2317.4496</v>
      </c>
      <c r="E396" s="4">
        <v>10713.9312</v>
      </c>
    </row>
    <row r="397" spans="1:5">
      <c r="A397" s="2" t="s">
        <v>17</v>
      </c>
      <c r="B397" s="2" t="s">
        <v>11</v>
      </c>
      <c r="C397" s="3">
        <v>2251.2</v>
      </c>
      <c r="D397" s="4">
        <v>1691.4544</v>
      </c>
      <c r="E397" s="4">
        <v>15218.112</v>
      </c>
    </row>
    <row r="398" spans="1:5">
      <c r="A398" s="2" t="s">
        <v>17</v>
      </c>
      <c r="B398" s="2" t="s">
        <v>11</v>
      </c>
      <c r="C398" s="3">
        <v>4108.2</v>
      </c>
      <c r="D398" s="4">
        <v>1636.7213</v>
      </c>
      <c r="E398" s="4">
        <v>27812.514</v>
      </c>
    </row>
    <row r="399" spans="1:5">
      <c r="A399" s="2" t="s">
        <v>17</v>
      </c>
      <c r="B399" s="2" t="s">
        <v>11</v>
      </c>
      <c r="C399" s="3">
        <v>4920</v>
      </c>
      <c r="D399" s="4">
        <v>1960.1287</v>
      </c>
      <c r="E399" s="4">
        <v>33308.4</v>
      </c>
    </row>
    <row r="400" spans="1:5">
      <c r="A400" s="2" t="s">
        <v>17</v>
      </c>
      <c r="B400" s="2" t="s">
        <v>11</v>
      </c>
      <c r="C400" s="3">
        <v>1776</v>
      </c>
      <c r="D400" s="4">
        <v>-17637.6792</v>
      </c>
      <c r="E400" s="4">
        <v>12112.32</v>
      </c>
    </row>
    <row r="401" spans="1:5">
      <c r="A401" s="2" t="s">
        <v>17</v>
      </c>
      <c r="B401" s="2" t="s">
        <v>11</v>
      </c>
      <c r="C401" s="3">
        <v>2000</v>
      </c>
      <c r="D401" s="4">
        <v>2547.85</v>
      </c>
      <c r="E401" s="4">
        <v>13520</v>
      </c>
    </row>
    <row r="402" spans="1:5">
      <c r="A402" s="2" t="s">
        <v>17</v>
      </c>
      <c r="B402" s="2" t="s">
        <v>11</v>
      </c>
      <c r="C402" s="3">
        <v>640</v>
      </c>
      <c r="D402" s="4">
        <v>-944.4448</v>
      </c>
      <c r="E402" s="4">
        <v>4326.4</v>
      </c>
    </row>
    <row r="403" spans="1:5">
      <c r="A403" s="2" t="s">
        <v>17</v>
      </c>
      <c r="B403" s="2" t="s">
        <v>11</v>
      </c>
      <c r="C403" s="3">
        <v>1260</v>
      </c>
      <c r="D403" s="4">
        <v>382.168200000001</v>
      </c>
      <c r="E403" s="4">
        <v>8593.200000000001</v>
      </c>
    </row>
    <row r="404" spans="1:5">
      <c r="A404" s="2" t="s">
        <v>17</v>
      </c>
      <c r="B404" s="2" t="s">
        <v>11</v>
      </c>
      <c r="C404" s="3">
        <v>5208</v>
      </c>
      <c r="D404" s="4">
        <v>5606.4484</v>
      </c>
      <c r="E404" s="4">
        <v>35206.08</v>
      </c>
    </row>
    <row r="405" spans="1:5">
      <c r="A405" s="2" t="s">
        <v>17</v>
      </c>
      <c r="B405" s="2" t="s">
        <v>11</v>
      </c>
      <c r="C405" s="3">
        <v>6120</v>
      </c>
      <c r="D405" s="4">
        <v>12360.6192</v>
      </c>
      <c r="E405" s="4">
        <v>41371.2</v>
      </c>
    </row>
    <row r="406" spans="1:5">
      <c r="A406" s="2" t="s">
        <v>17</v>
      </c>
      <c r="B406" s="2" t="s">
        <v>11</v>
      </c>
      <c r="C406" s="3">
        <v>8996.4</v>
      </c>
      <c r="D406" s="4">
        <v>9032.86919999999</v>
      </c>
      <c r="E406" s="4">
        <v>60815.664</v>
      </c>
    </row>
    <row r="407" spans="1:5">
      <c r="A407" s="2" t="s">
        <v>17</v>
      </c>
      <c r="B407" s="2" t="s">
        <v>11</v>
      </c>
      <c r="C407" s="3">
        <v>3124.8</v>
      </c>
      <c r="D407" s="4">
        <v>946.274700000001</v>
      </c>
      <c r="E407" s="4">
        <v>21217.392</v>
      </c>
    </row>
    <row r="408" spans="1:5">
      <c r="A408" s="2" t="s">
        <v>17</v>
      </c>
      <c r="B408" s="2" t="s">
        <v>11</v>
      </c>
      <c r="C408" s="3">
        <v>367.2</v>
      </c>
      <c r="D408" s="4">
        <v>196.1942</v>
      </c>
      <c r="E408" s="4">
        <v>2504.304</v>
      </c>
    </row>
    <row r="409" spans="1:5">
      <c r="A409" s="2" t="s">
        <v>17</v>
      </c>
      <c r="B409" s="2" t="s">
        <v>11</v>
      </c>
      <c r="C409" s="3">
        <v>1198.5</v>
      </c>
      <c r="D409" s="4">
        <v>603.561999999999</v>
      </c>
      <c r="E409" s="4">
        <v>8173.77</v>
      </c>
    </row>
    <row r="410" spans="1:5">
      <c r="A410" s="2" t="s">
        <v>17</v>
      </c>
      <c r="B410" s="2" t="s">
        <v>11</v>
      </c>
      <c r="C410" s="3">
        <v>1800</v>
      </c>
      <c r="D410" s="4">
        <v>361.204000000001</v>
      </c>
      <c r="E410" s="4">
        <v>12168</v>
      </c>
    </row>
    <row r="411" spans="1:5">
      <c r="A411" s="2" t="s">
        <v>17</v>
      </c>
      <c r="B411" s="2" t="s">
        <v>11</v>
      </c>
      <c r="C411" s="3">
        <v>2820</v>
      </c>
      <c r="D411" s="4">
        <v>1936.9234</v>
      </c>
      <c r="E411" s="4">
        <v>19091.4</v>
      </c>
    </row>
    <row r="412" spans="1:5">
      <c r="A412" s="2" t="s">
        <v>17</v>
      </c>
      <c r="B412" s="2" t="s">
        <v>11</v>
      </c>
      <c r="C412" s="3">
        <v>2076</v>
      </c>
      <c r="D412" s="4">
        <v>2293.5318</v>
      </c>
      <c r="E412" s="4">
        <v>14054.52</v>
      </c>
    </row>
    <row r="413" spans="1:5">
      <c r="A413" s="2" t="s">
        <v>17</v>
      </c>
      <c r="B413" s="2" t="s">
        <v>11</v>
      </c>
      <c r="C413" s="3">
        <v>1136</v>
      </c>
      <c r="D413" s="4">
        <v>1243.9822</v>
      </c>
      <c r="E413" s="4">
        <v>7690.719999999999</v>
      </c>
    </row>
    <row r="414" spans="1:5">
      <c r="A414" s="2" t="s">
        <v>17</v>
      </c>
      <c r="B414" s="2" t="s">
        <v>11</v>
      </c>
      <c r="C414" s="3">
        <v>3890.88</v>
      </c>
      <c r="D414" s="4">
        <v>2963.4728</v>
      </c>
      <c r="E414" s="4">
        <v>26341.2576</v>
      </c>
    </row>
    <row r="415" spans="1:5">
      <c r="A415" s="2" t="s">
        <v>17</v>
      </c>
      <c r="B415" s="2" t="s">
        <v>11</v>
      </c>
      <c r="C415" s="3">
        <v>768</v>
      </c>
      <c r="D415" s="4">
        <v>623.345199999999</v>
      </c>
      <c r="E415" s="4">
        <v>5199.36</v>
      </c>
    </row>
    <row r="416" spans="1:5">
      <c r="A416" s="2" t="s">
        <v>17</v>
      </c>
      <c r="B416" s="2" t="s">
        <v>11</v>
      </c>
      <c r="C416" s="3">
        <v>1103.76</v>
      </c>
      <c r="D416" s="4">
        <v>726.9684999999999</v>
      </c>
      <c r="E416" s="4">
        <v>7472.455199999999</v>
      </c>
    </row>
    <row r="417" spans="1:5">
      <c r="A417" s="2" t="s">
        <v>17</v>
      </c>
      <c r="B417" s="2" t="s">
        <v>11</v>
      </c>
      <c r="C417" s="3">
        <v>907.2</v>
      </c>
      <c r="D417" s="4">
        <v>1121.6745</v>
      </c>
      <c r="E417" s="4">
        <v>6141.744</v>
      </c>
    </row>
    <row r="418" spans="1:5">
      <c r="A418" s="2" t="s">
        <v>17</v>
      </c>
      <c r="B418" s="2" t="s">
        <v>11</v>
      </c>
      <c r="C418" s="3">
        <v>1072</v>
      </c>
      <c r="D418" s="4">
        <v>-377.155</v>
      </c>
      <c r="E418" s="4">
        <v>7257.44</v>
      </c>
    </row>
    <row r="419" spans="1:5">
      <c r="A419" s="2" t="s">
        <v>17</v>
      </c>
      <c r="B419" s="2" t="s">
        <v>13</v>
      </c>
      <c r="C419" s="3">
        <v>1935.36</v>
      </c>
      <c r="D419" s="4">
        <v>1659.3764</v>
      </c>
      <c r="E419" s="4">
        <v>13083.0336</v>
      </c>
    </row>
    <row r="420" spans="1:5">
      <c r="A420" s="2" t="s">
        <v>17</v>
      </c>
      <c r="B420" s="2" t="s">
        <v>13</v>
      </c>
      <c r="C420" s="3">
        <v>480</v>
      </c>
      <c r="D420" s="4">
        <v>550.604399999999</v>
      </c>
      <c r="E420" s="4">
        <v>3249.6</v>
      </c>
    </row>
    <row r="421" spans="1:5">
      <c r="A421" s="2" t="s">
        <v>17</v>
      </c>
      <c r="B421" s="2" t="s">
        <v>13</v>
      </c>
      <c r="C421" s="3">
        <v>864</v>
      </c>
      <c r="D421" s="4">
        <v>1128.025</v>
      </c>
      <c r="E421" s="4">
        <v>5832</v>
      </c>
    </row>
    <row r="422" spans="1:5">
      <c r="A422" s="2" t="s">
        <v>17</v>
      </c>
      <c r="B422" s="2" t="s">
        <v>13</v>
      </c>
      <c r="C422" s="3">
        <v>864</v>
      </c>
      <c r="D422" s="4">
        <v>1128.025</v>
      </c>
      <c r="E422" s="4">
        <v>5832</v>
      </c>
    </row>
    <row r="423" spans="1:5">
      <c r="A423" s="2" t="s">
        <v>17</v>
      </c>
      <c r="B423" s="2" t="s">
        <v>13</v>
      </c>
      <c r="C423" s="3">
        <v>9813.6</v>
      </c>
      <c r="D423" s="4">
        <v>4664.5176</v>
      </c>
      <c r="E423" s="4">
        <v>66339.936</v>
      </c>
    </row>
    <row r="424" spans="1:5">
      <c r="A424" s="2" t="s">
        <v>17</v>
      </c>
      <c r="B424" s="2" t="s">
        <v>13</v>
      </c>
      <c r="C424" s="3">
        <v>998</v>
      </c>
      <c r="D424" s="4">
        <v>1041.0787</v>
      </c>
      <c r="E424" s="4">
        <v>6756.459999999999</v>
      </c>
    </row>
    <row r="425" spans="1:5">
      <c r="A425" s="2" t="s">
        <v>17</v>
      </c>
      <c r="B425" s="2" t="s">
        <v>13</v>
      </c>
      <c r="C425" s="3">
        <v>1350.72</v>
      </c>
      <c r="D425" s="4">
        <v>1330.9272</v>
      </c>
      <c r="E425" s="4">
        <v>9130.867200000001</v>
      </c>
    </row>
    <row r="426" spans="1:5">
      <c r="A426" s="2" t="s">
        <v>17</v>
      </c>
      <c r="B426" s="2" t="s">
        <v>13</v>
      </c>
      <c r="C426" s="3">
        <v>1425.6</v>
      </c>
      <c r="D426" s="4">
        <v>401.972499999999</v>
      </c>
      <c r="E426" s="4">
        <v>9622.799999999999</v>
      </c>
    </row>
    <row r="427" spans="1:5">
      <c r="A427" s="2" t="s">
        <v>17</v>
      </c>
      <c r="B427" s="2" t="s">
        <v>13</v>
      </c>
      <c r="C427" s="3">
        <v>720</v>
      </c>
      <c r="D427" s="4">
        <v>1094.5166</v>
      </c>
      <c r="E427" s="4">
        <v>4874.4</v>
      </c>
    </row>
    <row r="428" spans="1:5">
      <c r="A428" s="2" t="s">
        <v>17</v>
      </c>
      <c r="B428" s="2" t="s">
        <v>13</v>
      </c>
      <c r="C428" s="3">
        <v>3790.8</v>
      </c>
      <c r="D428" s="4">
        <v>4018.9948</v>
      </c>
      <c r="E428" s="4">
        <v>25625.808</v>
      </c>
    </row>
    <row r="429" spans="1:5">
      <c r="A429" s="2" t="s">
        <v>17</v>
      </c>
      <c r="B429" s="2" t="s">
        <v>13</v>
      </c>
      <c r="C429" s="3">
        <v>7316.4</v>
      </c>
      <c r="D429" s="4">
        <v>2494.3108</v>
      </c>
      <c r="E429" s="4">
        <v>49458.86399999999</v>
      </c>
    </row>
    <row r="430" spans="1:5">
      <c r="A430" s="2" t="s">
        <v>17</v>
      </c>
      <c r="B430" s="2" t="s">
        <v>13</v>
      </c>
      <c r="C430" s="3">
        <v>3628.8</v>
      </c>
      <c r="D430" s="4">
        <v>898.7175</v>
      </c>
      <c r="E430" s="4">
        <v>24494.4</v>
      </c>
    </row>
    <row r="431" spans="1:5">
      <c r="A431" s="2" t="s">
        <v>17</v>
      </c>
      <c r="B431" s="2" t="s">
        <v>13</v>
      </c>
      <c r="C431" s="3">
        <v>640</v>
      </c>
      <c r="D431" s="4">
        <v>696.2453</v>
      </c>
      <c r="E431" s="4">
        <v>4332.799999999999</v>
      </c>
    </row>
    <row r="432" spans="1:5">
      <c r="A432" s="2" t="s">
        <v>17</v>
      </c>
      <c r="B432" s="2" t="s">
        <v>13</v>
      </c>
      <c r="C432" s="3">
        <v>2820</v>
      </c>
      <c r="D432" s="4">
        <v>1662.3552</v>
      </c>
      <c r="E432" s="4">
        <v>19091.4</v>
      </c>
    </row>
    <row r="433" spans="1:5">
      <c r="A433" s="2" t="s">
        <v>17</v>
      </c>
      <c r="B433" s="2" t="s">
        <v>13</v>
      </c>
      <c r="C433" s="3">
        <v>2076</v>
      </c>
      <c r="D433" s="4">
        <v>2324.7342</v>
      </c>
      <c r="E433" s="4">
        <v>14054.52</v>
      </c>
    </row>
    <row r="434" spans="1:5">
      <c r="A434" s="2" t="s">
        <v>17</v>
      </c>
      <c r="B434" s="2" t="s">
        <v>13</v>
      </c>
      <c r="C434" s="3">
        <v>1152</v>
      </c>
      <c r="D434" s="4">
        <v>824.2688000000001</v>
      </c>
      <c r="E434" s="4">
        <v>7799.039999999999</v>
      </c>
    </row>
    <row r="435" spans="1:5">
      <c r="A435" s="2" t="s">
        <v>17</v>
      </c>
      <c r="B435" s="2" t="s">
        <v>13</v>
      </c>
      <c r="C435" s="3">
        <v>735.84</v>
      </c>
      <c r="D435" s="4">
        <v>525.4949</v>
      </c>
      <c r="E435" s="4">
        <v>4981.6368</v>
      </c>
    </row>
    <row r="436" spans="1:5">
      <c r="A436" s="2" t="s">
        <v>17</v>
      </c>
      <c r="B436" s="2" t="s">
        <v>13</v>
      </c>
      <c r="C436" s="3">
        <v>1449.9</v>
      </c>
      <c r="D436" s="4">
        <v>382.4079</v>
      </c>
      <c r="E436" s="4">
        <v>9815.823</v>
      </c>
    </row>
    <row r="437" spans="1:5">
      <c r="A437" s="2" t="s">
        <v>17</v>
      </c>
      <c r="B437" s="2" t="s">
        <v>13</v>
      </c>
      <c r="C437" s="3">
        <v>2015.36</v>
      </c>
      <c r="D437" s="4">
        <v>271.9236</v>
      </c>
      <c r="E437" s="4">
        <v>13643.9872</v>
      </c>
    </row>
    <row r="438" spans="1:5">
      <c r="A438" s="2" t="s">
        <v>17</v>
      </c>
      <c r="B438" s="2" t="s">
        <v>9</v>
      </c>
      <c r="C438" s="3">
        <v>5493.6</v>
      </c>
      <c r="D438" s="4">
        <v>3800.35640000001</v>
      </c>
      <c r="E438" s="4">
        <v>37136.736</v>
      </c>
    </row>
    <row r="439" spans="1:5">
      <c r="A439" s="2" t="s">
        <v>17</v>
      </c>
      <c r="B439" s="2" t="s">
        <v>9</v>
      </c>
      <c r="C439" s="3">
        <v>2848.32</v>
      </c>
      <c r="D439" s="4">
        <v>597.692600000001</v>
      </c>
      <c r="E439" s="4">
        <v>19283.1264</v>
      </c>
    </row>
    <row r="440" spans="1:5">
      <c r="A440" s="2" t="s">
        <v>17</v>
      </c>
      <c r="B440" s="2" t="s">
        <v>9</v>
      </c>
      <c r="C440" s="3">
        <v>21610.8</v>
      </c>
      <c r="D440" s="4">
        <v>2486.48079999999</v>
      </c>
      <c r="E440" s="4">
        <v>146737.332</v>
      </c>
    </row>
    <row r="441" spans="1:5">
      <c r="A441" s="2" t="s">
        <v>17</v>
      </c>
      <c r="B441" s="2" t="s">
        <v>9</v>
      </c>
      <c r="C441" s="3">
        <v>25752</v>
      </c>
      <c r="D441" s="4">
        <v>4293.3646</v>
      </c>
      <c r="E441" s="4">
        <v>174856.08</v>
      </c>
    </row>
    <row r="442" spans="1:5">
      <c r="A442" s="2" t="s">
        <v>17</v>
      </c>
      <c r="B442" s="2" t="s">
        <v>9</v>
      </c>
      <c r="C442" s="3">
        <v>131291.2</v>
      </c>
      <c r="D442" s="4">
        <v>40794.7764000002</v>
      </c>
      <c r="E442" s="4">
        <v>891467.2480000001</v>
      </c>
    </row>
    <row r="443" spans="1:5">
      <c r="A443" s="2" t="s">
        <v>17</v>
      </c>
      <c r="B443" s="2" t="s">
        <v>9</v>
      </c>
      <c r="C443" s="3">
        <v>65145.6</v>
      </c>
      <c r="D443" s="4">
        <v>12821.7424</v>
      </c>
      <c r="E443" s="4">
        <v>441687.168</v>
      </c>
    </row>
    <row r="444" spans="1:5">
      <c r="A444" s="2" t="s">
        <v>17</v>
      </c>
      <c r="B444" s="2" t="s">
        <v>9</v>
      </c>
      <c r="C444" s="3">
        <v>13363.2</v>
      </c>
      <c r="D444" s="4">
        <v>3503.6348</v>
      </c>
      <c r="E444" s="4">
        <v>90602.49600000001</v>
      </c>
    </row>
    <row r="445" spans="1:5">
      <c r="A445" s="2" t="s">
        <v>17</v>
      </c>
      <c r="B445" s="2" t="s">
        <v>9</v>
      </c>
      <c r="C445" s="3">
        <v>25786.8</v>
      </c>
      <c r="D445" s="4">
        <v>10029.059</v>
      </c>
      <c r="E445" s="4">
        <v>175865.976</v>
      </c>
    </row>
    <row r="446" spans="1:5">
      <c r="A446" s="2" t="s">
        <v>17</v>
      </c>
      <c r="B446" s="2" t="s">
        <v>9</v>
      </c>
      <c r="C446" s="3">
        <v>13411.92</v>
      </c>
      <c r="D446" s="4">
        <v>5226.80940000001</v>
      </c>
      <c r="E446" s="4">
        <v>91469.2944</v>
      </c>
    </row>
    <row r="447" spans="1:5">
      <c r="A447" s="2" t="s">
        <v>17</v>
      </c>
      <c r="B447" s="2" t="s">
        <v>9</v>
      </c>
      <c r="C447" s="3">
        <v>24255.6</v>
      </c>
      <c r="D447" s="4">
        <v>-2980.7442</v>
      </c>
      <c r="E447" s="4">
        <v>165423.192</v>
      </c>
    </row>
    <row r="448" spans="1:5">
      <c r="A448" s="2" t="s">
        <v>17</v>
      </c>
      <c r="B448" s="2" t="s">
        <v>9</v>
      </c>
      <c r="C448" s="3">
        <v>76.56</v>
      </c>
      <c r="D448" s="4">
        <v>29.7334</v>
      </c>
      <c r="E448" s="4">
        <v>522.1392000000001</v>
      </c>
    </row>
    <row r="449" spans="1:5">
      <c r="A449" s="2" t="s">
        <v>17</v>
      </c>
      <c r="B449" s="2" t="s">
        <v>9</v>
      </c>
      <c r="C449" s="3">
        <v>14104.44</v>
      </c>
      <c r="D449" s="4">
        <v>5496.66560000002</v>
      </c>
      <c r="E449" s="4">
        <v>96192.28080000001</v>
      </c>
    </row>
    <row r="450" spans="1:5">
      <c r="A450" s="2" t="s">
        <v>17</v>
      </c>
      <c r="B450" s="2" t="s">
        <v>9</v>
      </c>
      <c r="C450" s="3">
        <v>1211.04</v>
      </c>
      <c r="D450" s="4">
        <v>-190.0324</v>
      </c>
      <c r="E450" s="4">
        <v>8259.292799999999</v>
      </c>
    </row>
    <row r="451" spans="1:5">
      <c r="A451" s="2" t="s">
        <v>17</v>
      </c>
      <c r="B451" s="2" t="s">
        <v>9</v>
      </c>
      <c r="C451" s="3">
        <v>7395</v>
      </c>
      <c r="D451" s="4">
        <v>3344.19709999999</v>
      </c>
      <c r="E451" s="4">
        <v>50064.14999999999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0"/>
  <sheetViews>
    <sheetView showGridLines="0" workbookViewId="0"/>
  </sheetViews>
  <sheetFormatPr defaultRowHeight="15"/>
  <cols>
    <col min="1" max="1" width="14.7109375" customWidth="1"/>
    <col min="2" max="3" width="20.7109375" customWidth="1"/>
    <col min="4" max="4" width="24.7109375" customWidth="1"/>
    <col min="5" max="5" width="18.7109375" customWidth="1"/>
  </cols>
  <sheetData>
    <row r="1" spans="1:12" s="5" customFormat="1" ht="25" customHeight="1">
      <c r="A1" s="6" t="s">
        <v>18</v>
      </c>
      <c r="B1" s="6"/>
      <c r="C1" s="6"/>
      <c r="D1" s="6"/>
      <c r="E1" s="6"/>
      <c r="F1" s="5"/>
      <c r="G1" s="5"/>
      <c r="H1" s="5"/>
      <c r="I1" s="5"/>
      <c r="J1" s="5"/>
      <c r="K1" s="5"/>
      <c r="L1" s="5"/>
    </row>
    <row r="2" spans="1:12" s="5" customFormat="1">
      <c r="A2" s="7" t="s">
        <v>19</v>
      </c>
      <c r="B2" s="7"/>
      <c r="C2" s="7"/>
      <c r="D2" s="7"/>
      <c r="E2" s="7"/>
      <c r="F2" s="5"/>
      <c r="G2" s="5"/>
      <c r="H2" s="5"/>
      <c r="I2" s="5"/>
      <c r="J2" s="5"/>
      <c r="K2" s="5"/>
      <c r="L2" s="5"/>
    </row>
    <row r="3" spans="1:12" s="5" customFormat="1" ht="25" customHeight="1">
      <c r="A3" s="8" t="s">
        <v>20</v>
      </c>
      <c r="B3" s="9" t="s">
        <v>21</v>
      </c>
      <c r="F3" s="5"/>
      <c r="G3" s="5"/>
      <c r="H3" s="5"/>
      <c r="I3" s="5"/>
      <c r="J3" s="5"/>
      <c r="K3" s="5"/>
      <c r="L3" s="5"/>
    </row>
    <row r="4" spans="1:12" s="5" customFormat="1" ht="20" customHeight="1">
      <c r="F4" s="5"/>
      <c r="G4" s="5"/>
      <c r="H4" s="5"/>
      <c r="I4" s="5"/>
      <c r="J4" s="5"/>
      <c r="K4" s="5"/>
      <c r="L4" s="5"/>
    </row>
    <row r="5" spans="1:12" s="5" customFormat="1" ht="25" customHeight="1">
      <c r="A5" s="10" t="s">
        <v>0</v>
      </c>
      <c r="B5" s="10" t="s">
        <v>22</v>
      </c>
      <c r="C5" s="10" t="s">
        <v>23</v>
      </c>
      <c r="D5" s="10" t="s">
        <v>24</v>
      </c>
      <c r="E5" s="10" t="s">
        <v>25</v>
      </c>
      <c r="F5" s="5"/>
      <c r="G5" s="5"/>
      <c r="H5" s="5"/>
      <c r="I5" s="5"/>
      <c r="J5" s="5"/>
      <c r="K5" s="5"/>
      <c r="L5" s="5"/>
    </row>
    <row r="6" spans="1:12" s="5" customFormat="1" ht="22" customHeight="1">
      <c r="A6" s="11" t="s">
        <v>5</v>
      </c>
      <c r="B6" s="12">
        <f>IF($B$3="所有分公司", SUMIFS(数据源!$C$2:$C$5000, 数据源!$A$2:$A$5000, A6), SUMIFS(数据源!$C$2:$C$5000, 数据源!$A$2:$A$5000, A6, 数据源!$B$2:$B$5000, $B$3))</f>
        <v>0</v>
      </c>
      <c r="C6" s="13">
        <f>IF($B$3="所有分公司", SUMIFS(数据源!$D$2:$D$5000, 数据源!$A$2:$A$5000, A6), SUMIFS(数据源!$D$2:$D$5000, 数据源!$A$2:$A$5000, A6, 数据源!$B$2:$B$5000, $B$3))</f>
        <v>0</v>
      </c>
      <c r="D6" s="13">
        <f>IF($B$3="所有分公司", SUMIFS(数据源!$E$2:$E$5000, 数据源!$A$2:$A$5000, A6), SUMIFS(数据源!$E$2:$E$5000, 数据源!$A$2:$A$5000, A6, 数据源!$B$2:$B$5000, $B$3))</f>
        <v>0</v>
      </c>
      <c r="E6" s="14">
        <f>IF(D6=0, 0, C6/D6)</f>
        <v>0</v>
      </c>
      <c r="F6" s="5"/>
      <c r="G6" s="5"/>
      <c r="H6" s="5"/>
      <c r="I6" s="5"/>
      <c r="J6" s="5"/>
      <c r="K6" s="5"/>
      <c r="L6" s="5"/>
    </row>
    <row r="7" spans="1:12" s="5" customFormat="1" ht="22" customHeight="1">
      <c r="A7" s="15" t="s">
        <v>10</v>
      </c>
      <c r="B7" s="16">
        <f>IF($B$3="所有分公司", SUMIFS(数据源!$C$2:$C$5000, 数据源!$A$2:$A$5000, A7), SUMIFS(数据源!$C$2:$C$5000, 数据源!$A$2:$A$5000, A7, 数据源!$B$2:$B$5000, $B$3))</f>
        <v>0</v>
      </c>
      <c r="C7" s="17">
        <f>IF($B$3="所有分公司", SUMIFS(数据源!$D$2:$D$5000, 数据源!$A$2:$A$5000, A7), SUMIFS(数据源!$D$2:$D$5000, 数据源!$A$2:$A$5000, A7, 数据源!$B$2:$B$5000, $B$3))</f>
        <v>0</v>
      </c>
      <c r="D7" s="17">
        <f>IF($B$3="所有分公司", SUMIFS(数据源!$E$2:$E$5000, 数据源!$A$2:$A$5000, A7), SUMIFS(数据源!$E$2:$E$5000, 数据源!$A$2:$A$5000, A7, 数据源!$B$2:$B$5000, $B$3))</f>
        <v>0</v>
      </c>
      <c r="E7" s="18">
        <f>IF(D7=0, 0, C7/D7)</f>
        <v>0</v>
      </c>
      <c r="F7" s="5"/>
      <c r="G7" s="5"/>
      <c r="H7" s="5"/>
      <c r="I7" s="5"/>
      <c r="J7" s="5"/>
      <c r="K7" s="5"/>
      <c r="L7" s="5"/>
    </row>
    <row r="8" spans="1:12" s="5" customFormat="1" ht="22" customHeight="1">
      <c r="A8" s="11" t="s">
        <v>14</v>
      </c>
      <c r="B8" s="12">
        <f>IF($B$3="所有分公司", SUMIFS(数据源!$C$2:$C$5000, 数据源!$A$2:$A$5000, A8), SUMIFS(数据源!$C$2:$C$5000, 数据源!$A$2:$A$5000, A8, 数据源!$B$2:$B$5000, $B$3))</f>
        <v>0</v>
      </c>
      <c r="C8" s="13">
        <f>IF($B$3="所有分公司", SUMIFS(数据源!$D$2:$D$5000, 数据源!$A$2:$A$5000, A8), SUMIFS(数据源!$D$2:$D$5000, 数据源!$A$2:$A$5000, A8, 数据源!$B$2:$B$5000, $B$3))</f>
        <v>0</v>
      </c>
      <c r="D8" s="13">
        <f>IF($B$3="所有分公司", SUMIFS(数据源!$E$2:$E$5000, 数据源!$A$2:$A$5000, A8), SUMIFS(数据源!$E$2:$E$5000, 数据源!$A$2:$A$5000, A8, 数据源!$B$2:$B$5000, $B$3))</f>
        <v>0</v>
      </c>
      <c r="E8" s="14">
        <f>IF(D8=0, 0, C8/D8)</f>
        <v>0</v>
      </c>
      <c r="F8" s="5"/>
      <c r="G8" s="5"/>
      <c r="H8" s="5"/>
      <c r="I8" s="5"/>
      <c r="J8" s="5"/>
      <c r="K8" s="5"/>
      <c r="L8" s="5"/>
    </row>
    <row r="9" spans="1:12" s="5" customFormat="1" ht="22" customHeight="1">
      <c r="A9" s="15" t="s">
        <v>15</v>
      </c>
      <c r="B9" s="16">
        <f>IF($B$3="所有分公司", SUMIFS(数据源!$C$2:$C$5000, 数据源!$A$2:$A$5000, A9), SUMIFS(数据源!$C$2:$C$5000, 数据源!$A$2:$A$5000, A9, 数据源!$B$2:$B$5000, $B$3))</f>
        <v>0</v>
      </c>
      <c r="C9" s="17">
        <f>IF($B$3="所有分公司", SUMIFS(数据源!$D$2:$D$5000, 数据源!$A$2:$A$5000, A9), SUMIFS(数据源!$D$2:$D$5000, 数据源!$A$2:$A$5000, A9, 数据源!$B$2:$B$5000, $B$3))</f>
        <v>0</v>
      </c>
      <c r="D9" s="17">
        <f>IF($B$3="所有分公司", SUMIFS(数据源!$E$2:$E$5000, 数据源!$A$2:$A$5000, A9), SUMIFS(数据源!$E$2:$E$5000, 数据源!$A$2:$A$5000, A9, 数据源!$B$2:$B$5000, $B$3))</f>
        <v>0</v>
      </c>
      <c r="E9" s="18">
        <f>IF(D9=0, 0, C9/D9)</f>
        <v>0</v>
      </c>
      <c r="F9" s="5"/>
      <c r="G9" s="5"/>
      <c r="H9" s="5"/>
      <c r="I9" s="5"/>
      <c r="J9" s="5"/>
      <c r="K9" s="5"/>
      <c r="L9" s="5"/>
    </row>
    <row r="10" spans="1:12" s="5" customFormat="1" ht="22" customHeight="1">
      <c r="A10" s="11" t="s">
        <v>16</v>
      </c>
      <c r="B10" s="12">
        <f>IF($B$3="所有分公司", SUMIFS(数据源!$C$2:$C$5000, 数据源!$A$2:$A$5000, A10), SUMIFS(数据源!$C$2:$C$5000, 数据源!$A$2:$A$5000, A10, 数据源!$B$2:$B$5000, $B$3))</f>
        <v>0</v>
      </c>
      <c r="C10" s="13">
        <f>IF($B$3="所有分公司", SUMIFS(数据源!$D$2:$D$5000, 数据源!$A$2:$A$5000, A10), SUMIFS(数据源!$D$2:$D$5000, 数据源!$A$2:$A$5000, A10, 数据源!$B$2:$B$5000, $B$3))</f>
        <v>0</v>
      </c>
      <c r="D10" s="13">
        <f>IF($B$3="所有分公司", SUMIFS(数据源!$E$2:$E$5000, 数据源!$A$2:$A$5000, A10), SUMIFS(数据源!$E$2:$E$5000, 数据源!$A$2:$A$5000, A10, 数据源!$B$2:$B$5000, $B$3))</f>
        <v>0</v>
      </c>
      <c r="E10" s="14">
        <f>IF(D10=0, 0, C10/D10)</f>
        <v>0</v>
      </c>
      <c r="F10" s="5"/>
      <c r="G10" s="5"/>
      <c r="H10" s="5"/>
      <c r="I10" s="5"/>
      <c r="J10" s="5"/>
      <c r="K10" s="5"/>
      <c r="L10" s="5"/>
    </row>
    <row r="11" spans="1:12" s="5" customFormat="1" ht="22" customHeight="1">
      <c r="A11" s="15" t="s">
        <v>17</v>
      </c>
      <c r="B11" s="16">
        <f>IF($B$3="所有分公司", SUMIFS(数据源!$C$2:$C$5000, 数据源!$A$2:$A$5000, A11), SUMIFS(数据源!$C$2:$C$5000, 数据源!$A$2:$A$5000, A11, 数据源!$B$2:$B$5000, $B$3))</f>
        <v>0</v>
      </c>
      <c r="C11" s="17">
        <f>IF($B$3="所有分公司", SUMIFS(数据源!$D$2:$D$5000, 数据源!$A$2:$A$5000, A11), SUMIFS(数据源!$D$2:$D$5000, 数据源!$A$2:$A$5000, A11, 数据源!$B$2:$B$5000, $B$3))</f>
        <v>0</v>
      </c>
      <c r="D11" s="17">
        <f>IF($B$3="所有分公司", SUMIFS(数据源!$E$2:$E$5000, 数据源!$A$2:$A$5000, A11), SUMIFS(数据源!$E$2:$E$5000, 数据源!$A$2:$A$5000, A11, 数据源!$B$2:$B$5000, $B$3))</f>
        <v>0</v>
      </c>
      <c r="E11" s="18">
        <f>IF(D11=0, 0, C11/D11)</f>
        <v>0</v>
      </c>
      <c r="F11" s="5"/>
      <c r="G11" s="5"/>
      <c r="H11" s="5"/>
      <c r="I11" s="5"/>
      <c r="J11" s="5"/>
      <c r="K11" s="5"/>
      <c r="L11" s="5"/>
    </row>
    <row r="12" spans="1:12" s="5" customFormat="1" ht="20" customHeight="1">
      <c r="F12" s="5"/>
      <c r="G12" s="5"/>
      <c r="H12" s="5"/>
      <c r="I12" s="5"/>
      <c r="J12" s="5"/>
      <c r="K12" s="5"/>
      <c r="L12" s="5"/>
    </row>
    <row r="13" spans="1:12" s="5" customFormat="1" ht="20" customHeight="1">
      <c r="F13" s="5"/>
      <c r="G13" s="5"/>
      <c r="H13" s="5"/>
      <c r="I13" s="5"/>
      <c r="J13" s="5"/>
      <c r="K13" s="5"/>
      <c r="L13" s="5"/>
    </row>
    <row r="14" spans="1:12" s="5" customFormat="1" ht="20" customHeight="1">
      <c r="F14" s="5"/>
      <c r="G14" s="5"/>
      <c r="H14" s="5"/>
      <c r="I14" s="5"/>
      <c r="J14" s="5"/>
      <c r="K14" s="5"/>
      <c r="L14" s="5"/>
    </row>
    <row r="15" spans="1:12" s="5" customFormat="1" ht="20" customHeight="1">
      <c r="F15" s="5"/>
      <c r="G15" s="5"/>
      <c r="H15" s="5"/>
      <c r="I15" s="5"/>
      <c r="J15" s="5"/>
      <c r="K15" s="5"/>
      <c r="L15" s="5"/>
    </row>
    <row r="16" spans="1:12" s="5" customFormat="1" ht="20" customHeight="1">
      <c r="F16" s="5"/>
      <c r="G16" s="5"/>
      <c r="H16" s="5"/>
      <c r="I16" s="5"/>
      <c r="J16" s="5"/>
      <c r="K16" s="5"/>
      <c r="L16" s="5"/>
    </row>
    <row r="17" spans="6:12" s="5" customFormat="1" ht="20" customHeight="1">
      <c r="F17" s="5"/>
      <c r="G17" s="5"/>
      <c r="H17" s="5"/>
      <c r="I17" s="5"/>
      <c r="J17" s="5"/>
      <c r="K17" s="5"/>
      <c r="L17" s="5"/>
    </row>
    <row r="18" spans="6:12" s="5" customFormat="1" ht="20" customHeight="1">
      <c r="F18" s="5"/>
      <c r="G18" s="5"/>
      <c r="H18" s="5"/>
      <c r="I18" s="5"/>
      <c r="J18" s="5"/>
      <c r="K18" s="5"/>
      <c r="L18" s="5"/>
    </row>
    <row r="19" spans="6:12" s="5" customFormat="1" ht="20" customHeight="1">
      <c r="F19" s="5"/>
      <c r="G19" s="5"/>
      <c r="H19" s="5"/>
      <c r="I19" s="5"/>
      <c r="J19" s="5"/>
      <c r="K19" s="5"/>
      <c r="L19" s="5"/>
    </row>
    <row r="20" spans="6:12" s="5" customFormat="1" ht="20" customHeight="1">
      <c r="F20" s="5"/>
      <c r="G20" s="5"/>
      <c r="H20" s="5"/>
      <c r="I20" s="5"/>
      <c r="J20" s="5"/>
      <c r="K20" s="5"/>
      <c r="L20" s="5"/>
    </row>
    <row r="21" spans="6:12" s="5" customFormat="1" ht="20" customHeight="1">
      <c r="F21" s="5"/>
      <c r="G21" s="5"/>
      <c r="H21" s="5"/>
      <c r="I21" s="5"/>
      <c r="J21" s="5"/>
      <c r="K21" s="5"/>
      <c r="L21" s="5"/>
    </row>
    <row r="22" spans="6:12" s="5" customFormat="1" ht="20" customHeight="1">
      <c r="F22" s="5"/>
      <c r="G22" s="5"/>
      <c r="H22" s="5"/>
      <c r="I22" s="5"/>
      <c r="J22" s="5"/>
      <c r="K22" s="5"/>
      <c r="L22" s="5"/>
    </row>
    <row r="23" spans="6:12" s="5" customFormat="1" ht="20" customHeight="1">
      <c r="F23" s="5"/>
      <c r="G23" s="5"/>
      <c r="H23" s="5"/>
      <c r="I23" s="5"/>
      <c r="J23" s="5"/>
      <c r="K23" s="5"/>
      <c r="L23" s="5"/>
    </row>
    <row r="24" spans="6:12" s="5" customFormat="1" ht="20" customHeight="1">
      <c r="F24" s="5"/>
      <c r="G24" s="5"/>
      <c r="H24" s="5"/>
      <c r="I24" s="5"/>
      <c r="J24" s="5"/>
      <c r="K24" s="5"/>
      <c r="L24" s="5"/>
    </row>
    <row r="25" spans="6:12" s="5" customFormat="1" ht="20" customHeight="1">
      <c r="F25" s="5"/>
      <c r="G25" s="5"/>
      <c r="H25" s="5"/>
      <c r="I25" s="5"/>
      <c r="J25" s="5"/>
      <c r="K25" s="5"/>
      <c r="L25" s="5"/>
    </row>
    <row r="26" spans="6:12" s="5" customFormat="1" ht="20" customHeight="1">
      <c r="F26" s="5"/>
      <c r="G26" s="5"/>
      <c r="H26" s="5"/>
      <c r="I26" s="5"/>
      <c r="J26" s="5"/>
      <c r="K26" s="5"/>
      <c r="L26" s="5"/>
    </row>
    <row r="27" spans="6:12" s="5" customFormat="1" ht="20" customHeight="1">
      <c r="F27" s="5"/>
      <c r="G27" s="5"/>
      <c r="H27" s="5"/>
      <c r="I27" s="5"/>
      <c r="J27" s="5"/>
      <c r="K27" s="5"/>
      <c r="L27" s="5"/>
    </row>
    <row r="28" spans="6:12" s="5" customFormat="1" ht="20" customHeight="1">
      <c r="F28" s="5"/>
      <c r="G28" s="5"/>
      <c r="H28" s="5"/>
      <c r="I28" s="5"/>
      <c r="J28" s="5"/>
      <c r="K28" s="5"/>
      <c r="L28" s="5"/>
    </row>
    <row r="29" spans="6:12" s="5" customFormat="1" ht="20" customHeight="1">
      <c r="F29" s="5"/>
      <c r="G29" s="5"/>
      <c r="H29" s="5"/>
      <c r="I29" s="5"/>
      <c r="J29" s="5"/>
      <c r="K29" s="5"/>
      <c r="L29" s="5"/>
    </row>
    <row r="30" spans="6:12" s="5" customFormat="1" ht="20" customHeight="1">
      <c r="F30" s="5"/>
      <c r="G30" s="5"/>
      <c r="H30" s="5"/>
      <c r="I30" s="5"/>
      <c r="J30" s="5"/>
      <c r="K30" s="5"/>
      <c r="L30" s="5"/>
    </row>
    <row r="31" spans="6:12" s="5" customFormat="1" ht="20" customHeight="1">
      <c r="F31" s="5"/>
      <c r="G31" s="5"/>
      <c r="H31" s="5"/>
      <c r="I31" s="5"/>
      <c r="J31" s="5"/>
      <c r="K31" s="5"/>
      <c r="L31" s="5"/>
    </row>
    <row r="32" spans="6:12" s="5" customFormat="1" ht="20" customHeight="1">
      <c r="F32" s="5"/>
      <c r="G32" s="5"/>
      <c r="H32" s="5"/>
      <c r="I32" s="5"/>
      <c r="J32" s="5"/>
      <c r="K32" s="5"/>
      <c r="L32" s="5"/>
    </row>
    <row r="33" spans="6:12" s="5" customFormat="1" ht="20" customHeight="1">
      <c r="F33" s="5"/>
      <c r="G33" s="5"/>
      <c r="H33" s="5"/>
      <c r="I33" s="5"/>
      <c r="J33" s="5"/>
      <c r="K33" s="5"/>
      <c r="L33" s="5"/>
    </row>
    <row r="34" spans="6:12" s="5" customFormat="1" ht="20" customHeight="1">
      <c r="F34" s="5"/>
      <c r="G34" s="5"/>
      <c r="H34" s="5"/>
      <c r="I34" s="5"/>
      <c r="J34" s="5"/>
      <c r="K34" s="5"/>
      <c r="L34" s="5"/>
    </row>
    <row r="35" spans="6:12" s="5" customFormat="1" ht="20" customHeight="1">
      <c r="F35" s="5"/>
      <c r="G35" s="5"/>
      <c r="H35" s="5"/>
      <c r="I35" s="5"/>
      <c r="J35" s="5"/>
      <c r="K35" s="5"/>
      <c r="L35" s="5"/>
    </row>
    <row r="36" spans="6:12" s="5" customFormat="1" ht="20" customHeight="1">
      <c r="F36" s="5"/>
      <c r="G36" s="5"/>
      <c r="H36" s="5"/>
      <c r="I36" s="5"/>
      <c r="J36" s="5"/>
      <c r="K36" s="5"/>
      <c r="L36" s="5"/>
    </row>
    <row r="37" spans="6:12" s="5" customFormat="1" ht="20" customHeight="1">
      <c r="F37" s="5"/>
      <c r="G37" s="5"/>
      <c r="H37" s="5"/>
      <c r="I37" s="5"/>
      <c r="J37" s="5"/>
      <c r="K37" s="5"/>
      <c r="L37" s="5"/>
    </row>
    <row r="38" spans="6:12" s="5" customFormat="1" ht="20" customHeight="1">
      <c r="F38" s="5"/>
      <c r="G38" s="5"/>
      <c r="H38" s="5"/>
      <c r="I38" s="5"/>
      <c r="J38" s="5"/>
      <c r="K38" s="5"/>
      <c r="L38" s="5"/>
    </row>
    <row r="39" spans="6:12" s="5" customFormat="1" ht="20" customHeight="1">
      <c r="F39" s="5"/>
      <c r="G39" s="5"/>
      <c r="H39" s="5"/>
      <c r="I39" s="5"/>
      <c r="J39" s="5"/>
      <c r="K39" s="5"/>
      <c r="L39" s="5"/>
    </row>
    <row r="40" spans="6:12" s="5" customFormat="1" ht="20" customHeight="1">
      <c r="F40" s="5"/>
      <c r="G40" s="5"/>
      <c r="H40" s="5"/>
      <c r="I40" s="5"/>
      <c r="J40" s="5"/>
      <c r="K40" s="5"/>
      <c r="L40" s="5"/>
    </row>
  </sheetData>
  <mergeCells count="2">
    <mergeCell ref="A1:E1"/>
    <mergeCell ref="A2:E2"/>
  </mergeCells>
  <dataValidations count="1">
    <dataValidation type="list" allowBlank="1" showInputMessage="1" showErrorMessage="1" errorTitle="无效的选择" error="请从下拉列表中选择分公司！" promptTitle="选择分公司" prompt="请选择一个分公司下钻分析数据" sqref="B3">
      <formula1>"所有分公司,市场七一司,市场七三司,市场七九司,市场七二司,市场七八司,市场七六司,市场八十司"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数据源</vt:lpstr>
      <vt:lpstr>动态看板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2026-07-15T02:32:24Z</dcterms:created>
  <dcterms:modified xsi:type="dcterms:W3CDTF">2026-07-15T02:32:24Z</dcterms:modified>
</cp:coreProperties>
</file>